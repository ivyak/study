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tkyotouac-my.sharepoint.com/personal/isagawa_nobuyuki_3w_ms_c_kyoto-u_ac_jp/Documents/0. 京大経済学部 コーポレートファイナンス（2026）/KUCF ② DDM サステナ成長と価値創造 日本生命/"/>
    </mc:Choice>
  </mc:AlternateContent>
  <xr:revisionPtr revIDLastSave="3" documentId="8_{7B6D7BDC-4462-47CB-9D1F-9AD8B14DE6A9}" xr6:coauthVersionLast="47" xr6:coauthVersionMax="47" xr10:uidLastSave="{6DBA03E1-DEA1-4C62-958A-4EA12AD08414}"/>
  <bookViews>
    <workbookView xWindow="28680" yWindow="-120" windowWidth="29040" windowHeight="15720" firstSheet="1" activeTab="3" xr2:uid="{00000000-000D-0000-FFFF-FFFF00000000}"/>
  </bookViews>
  <sheets>
    <sheet name="CB_DATA_" sheetId="16" state="hidden" r:id="rId1"/>
    <sheet name="定率成長モデル" sheetId="74" r:id="rId2"/>
    <sheet name="Sheet1" sheetId="71" r:id="rId3"/>
    <sheet name="サステナブル成長モデル" sheetId="75" r:id="rId4"/>
  </sheets>
  <externalReferences>
    <externalReference r:id="rId5"/>
  </externalReferences>
  <definedNames>
    <definedName name="Balance_Sheet" localSheetId="1">#REF!</definedName>
    <definedName name="Balance_Sheet">#REF!</definedName>
    <definedName name="CBWorkbookPriority" hidden="1">-422461375</definedName>
    <definedName name="CBx_14070977772c4eeb8d5e6845f8e342b3" localSheetId="0" hidden="1">"'CB_DATA_'!$A$1"</definedName>
    <definedName name="CBx_5f1cad87181649e2ae0e2ac062cf56c5" localSheetId="0" hidden="1">"'新製品製造・販売'!$A$1"</definedName>
    <definedName name="CBx_Sheet_Guid" localSheetId="0" hidden="1">"'14070977772c4eeb8d5e6845f8e342b3"</definedName>
    <definedName name="Continuation_Value" localSheetId="1">#REF!</definedName>
    <definedName name="Continuation_Value">#REF!</definedName>
    <definedName name="Cost_of_Capital" localSheetId="1">#REF!</definedName>
    <definedName name="Cost_of_Capital">#REF!</definedName>
    <definedName name="EBITDA_2017">'[1]Exhibit 4 Valuation (VC View)'!$I$11</definedName>
    <definedName name="EXHIBIT" localSheetId="1">#REF!</definedName>
    <definedName name="EXHIBIT">#REF!</definedName>
    <definedName name="Exhibit_01" localSheetId="1">#REF!</definedName>
    <definedName name="Exhibit_01">#REF!</definedName>
    <definedName name="Exhibit_02" localSheetId="1">#REF!</definedName>
    <definedName name="Exhibit_02">#REF!</definedName>
    <definedName name="Exhibit_03" localSheetId="1">#REF!</definedName>
    <definedName name="Exhibit_03">#REF!</definedName>
    <definedName name="Exhibit_04" localSheetId="1">#REF!</definedName>
    <definedName name="Exhibit_04">#REF!</definedName>
    <definedName name="Exhibit_05" localSheetId="1">#REF!</definedName>
    <definedName name="Exhibit_05">#REF!</definedName>
    <definedName name="Exhibit_06" localSheetId="1">#REF!</definedName>
    <definedName name="Exhibit_06">#REF!</definedName>
    <definedName name="Exhibit_07" localSheetId="1">#REF!</definedName>
    <definedName name="Exhibit_07">#REF!</definedName>
    <definedName name="Exhibit_08" localSheetId="1">#REF!</definedName>
    <definedName name="Exhibit_08">#REF!</definedName>
    <definedName name="Exhibit_09" localSheetId="1">#REF!</definedName>
    <definedName name="Exhibit_09">#REF!</definedName>
    <definedName name="EXHIBIT07" localSheetId="1">#REF!</definedName>
    <definedName name="EXHIBIT07">#REF!</definedName>
    <definedName name="Financing" localSheetId="1">#REF!</definedName>
    <definedName name="Financing">#REF!</definedName>
    <definedName name="Firm_Data" localSheetId="1">#REF!</definedName>
    <definedName name="Firm_Data">#REF!</definedName>
    <definedName name="Free_Cash_Flow" localSheetId="1">#REF!</definedName>
    <definedName name="Free_Cash_Flow">#REF!</definedName>
    <definedName name="Income_Statement" localSheetId="1">#REF!</definedName>
    <definedName name="Income_Statement">#REF!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DNTM" hidden="1">700000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MTD" hidden="1">800000</definedName>
    <definedName name="IQ_NAMES_REVISION_DATE_" hidden="1">"12/01/2015 08:58:21"</definedName>
    <definedName name="IQ_NTM" hidden="1">6000</definedName>
    <definedName name="IQ_QTD" hidden="1">750000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St_of_Cash_Flows" localSheetId="1">#REF!</definedName>
    <definedName name="St_of_Cash_Flows">#REF!</definedName>
    <definedName name="Target_Rate_VC">'[1]Exhibit 4 Valuation (VC View)'!$C$18</definedName>
    <definedName name="Valuation" localSheetId="1">#REF!</definedName>
    <definedName name="Valuation">#REF!</definedName>
    <definedName name="Working_Capital" localSheetId="1">#REF!</definedName>
    <definedName name="Working_Capital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75" l="1"/>
  <c r="C11" i="75"/>
  <c r="C7" i="75"/>
  <c r="C6" i="75"/>
  <c r="C14" i="75" l="1"/>
  <c r="C13" i="75"/>
  <c r="G2" i="75" l="1"/>
  <c r="C15" i="75"/>
  <c r="D11" i="75" s="1"/>
  <c r="D12" i="75" l="1"/>
  <c r="G5" i="75"/>
  <c r="G11" i="75"/>
  <c r="G14" i="75" s="1"/>
  <c r="D17" i="75" l="1"/>
  <c r="D14" i="75"/>
  <c r="D18" i="75" s="1"/>
  <c r="D13" i="75"/>
  <c r="D15" i="75"/>
  <c r="E11" i="75" l="1"/>
  <c r="D19" i="75"/>
  <c r="E12" i="75" l="1"/>
  <c r="E17" i="75" l="1"/>
  <c r="E14" i="75"/>
  <c r="E18" i="75" s="1"/>
  <c r="E13" i="75"/>
  <c r="E15" i="75"/>
  <c r="E19" i="75" s="1"/>
  <c r="C12" i="74" l="1"/>
  <c r="D11" i="74"/>
  <c r="D12" i="74" s="1"/>
  <c r="C11" i="74"/>
  <c r="C7" i="74"/>
  <c r="W10" i="74"/>
  <c r="X10" i="74" s="1"/>
  <c r="Y10" i="74" s="1"/>
  <c r="Z10" i="74" s="1"/>
  <c r="AA10" i="74" s="1"/>
  <c r="AB10" i="74" s="1"/>
  <c r="AC10" i="74" s="1"/>
  <c r="AD10" i="74" s="1"/>
  <c r="AE10" i="74" s="1"/>
  <c r="AF10" i="74" s="1"/>
  <c r="AG10" i="74" s="1"/>
  <c r="AH10" i="74" s="1"/>
  <c r="AI10" i="74" s="1"/>
  <c r="AJ10" i="74" s="1"/>
  <c r="AK10" i="74" s="1"/>
  <c r="AL10" i="74" s="1"/>
  <c r="AM10" i="74" s="1"/>
  <c r="AN10" i="74" s="1"/>
  <c r="AO10" i="74" s="1"/>
  <c r="AP10" i="74" s="1"/>
  <c r="AQ10" i="74" s="1"/>
  <c r="AR10" i="74" s="1"/>
  <c r="AS10" i="74" s="1"/>
  <c r="AT10" i="74" s="1"/>
  <c r="AU10" i="74" s="1"/>
  <c r="AV10" i="74" s="1"/>
  <c r="AW10" i="74" s="1"/>
  <c r="AX10" i="74" s="1"/>
  <c r="AY10" i="74" s="1"/>
  <c r="AZ10" i="74" s="1"/>
  <c r="BA10" i="74" s="1"/>
  <c r="BB10" i="74" s="1"/>
  <c r="BC10" i="74" s="1"/>
  <c r="BD10" i="74" s="1"/>
  <c r="BE10" i="74" s="1"/>
  <c r="BF10" i="74" s="1"/>
  <c r="BG10" i="74" s="1"/>
  <c r="BH10" i="74" s="1"/>
  <c r="BI10" i="74" s="1"/>
  <c r="BJ10" i="74" s="1"/>
  <c r="BK10" i="74" s="1"/>
  <c r="BL10" i="74" s="1"/>
  <c r="BM10" i="74" s="1"/>
  <c r="BN10" i="74" s="1"/>
  <c r="BO10" i="74" s="1"/>
  <c r="BP10" i="74" s="1"/>
  <c r="BQ10" i="74" s="1"/>
  <c r="BR10" i="74" s="1"/>
  <c r="BS10" i="74" s="1"/>
  <c r="BT10" i="74" s="1"/>
  <c r="BU10" i="74" s="1"/>
  <c r="BV10" i="74" s="1"/>
  <c r="BW10" i="74" s="1"/>
  <c r="BX10" i="74" s="1"/>
  <c r="BY10" i="74" s="1"/>
  <c r="BZ10" i="74" s="1"/>
  <c r="CA10" i="74" s="1"/>
  <c r="CB10" i="74" s="1"/>
  <c r="CC10" i="74" s="1"/>
  <c r="CD10" i="74" s="1"/>
  <c r="CE10" i="74" s="1"/>
  <c r="CF10" i="74" s="1"/>
  <c r="CG10" i="74" s="1"/>
  <c r="CH10" i="74" s="1"/>
  <c r="CI10" i="74" s="1"/>
  <c r="CJ10" i="74" s="1"/>
  <c r="CK10" i="74" s="1"/>
  <c r="CL10" i="74" s="1"/>
  <c r="CM10" i="74" s="1"/>
  <c r="CN10" i="74" s="1"/>
  <c r="CO10" i="74" s="1"/>
  <c r="CP10" i="74" s="1"/>
  <c r="CQ10" i="74" s="1"/>
  <c r="CR10" i="74" s="1"/>
  <c r="CS10" i="74" s="1"/>
  <c r="CT10" i="74" s="1"/>
  <c r="CU10" i="74" s="1"/>
  <c r="CV10" i="74" s="1"/>
  <c r="CW10" i="74" s="1"/>
  <c r="CX10" i="74" s="1"/>
  <c r="E11" i="74" l="1"/>
  <c r="E12" i="74" l="1"/>
  <c r="F11" i="74"/>
  <c r="G11" i="74" l="1"/>
  <c r="F12" i="74"/>
  <c r="H11" i="74" l="1"/>
  <c r="G12" i="74"/>
  <c r="I11" i="74" l="1"/>
  <c r="H12" i="74"/>
  <c r="J11" i="74" l="1"/>
  <c r="I12" i="74"/>
  <c r="K11" i="74" l="1"/>
  <c r="J12" i="74"/>
  <c r="L11" i="74" l="1"/>
  <c r="K12" i="74"/>
  <c r="M11" i="74" l="1"/>
  <c r="L12" i="74"/>
  <c r="N11" i="74" l="1"/>
  <c r="M12" i="74"/>
  <c r="O11" i="74" l="1"/>
  <c r="N12" i="74"/>
  <c r="P11" i="74" l="1"/>
  <c r="O12" i="74"/>
  <c r="C13" i="74"/>
  <c r="Q11" i="74" l="1"/>
  <c r="P12" i="74"/>
  <c r="R11" i="74" l="1"/>
  <c r="Q12" i="74"/>
  <c r="S11" i="74" l="1"/>
  <c r="R12" i="74"/>
  <c r="T11" i="74" l="1"/>
  <c r="S12" i="74"/>
  <c r="U11" i="74" l="1"/>
  <c r="T12" i="74"/>
  <c r="V11" i="74" l="1"/>
  <c r="U12" i="74"/>
  <c r="W11" i="74" l="1"/>
  <c r="V12" i="74"/>
  <c r="X11" i="74" l="1"/>
  <c r="W12" i="74"/>
  <c r="Y11" i="74" l="1"/>
  <c r="X12" i="74"/>
  <c r="Z11" i="74" l="1"/>
  <c r="Y12" i="74"/>
  <c r="AA11" i="74" l="1"/>
  <c r="Z12" i="74"/>
  <c r="AB11" i="74" l="1"/>
  <c r="AA12" i="74"/>
  <c r="AC11" i="74" l="1"/>
  <c r="AB12" i="74"/>
  <c r="AD11" i="74" l="1"/>
  <c r="AC12" i="74"/>
  <c r="AE11" i="74" l="1"/>
  <c r="AD12" i="74"/>
  <c r="AF11" i="74" l="1"/>
  <c r="AE12" i="74"/>
  <c r="AG11" i="74" l="1"/>
  <c r="AF12" i="74"/>
  <c r="AH11" i="74" l="1"/>
  <c r="AG12" i="74"/>
  <c r="AI11" i="74" l="1"/>
  <c r="AH12" i="74"/>
  <c r="AJ11" i="74" l="1"/>
  <c r="AI12" i="74"/>
  <c r="C14" i="74"/>
  <c r="AK11" i="74" l="1"/>
  <c r="AJ12" i="74"/>
  <c r="AL11" i="74" l="1"/>
  <c r="AK12" i="74"/>
  <c r="AM11" i="74" l="1"/>
  <c r="AL12" i="74"/>
  <c r="AN11" i="74" l="1"/>
  <c r="AM12" i="74"/>
  <c r="AO11" i="74" l="1"/>
  <c r="AN12" i="74"/>
  <c r="AP11" i="74" l="1"/>
  <c r="AO12" i="74"/>
  <c r="AQ11" i="74" l="1"/>
  <c r="AP12" i="74"/>
  <c r="AR11" i="74" l="1"/>
  <c r="AQ12" i="74"/>
  <c r="AS11" i="74" l="1"/>
  <c r="AR12" i="74"/>
  <c r="AT11" i="74" l="1"/>
  <c r="AS12" i="74"/>
  <c r="AU11" i="74" l="1"/>
  <c r="AT12" i="74"/>
  <c r="AV11" i="74" l="1"/>
  <c r="AU12" i="74"/>
  <c r="AW11" i="74" l="1"/>
  <c r="AV12" i="74"/>
  <c r="AX11" i="74" l="1"/>
  <c r="AW12" i="74"/>
  <c r="AY11" i="74" l="1"/>
  <c r="AX12" i="74"/>
  <c r="AZ11" i="74" l="1"/>
  <c r="AY12" i="74"/>
  <c r="BA11" i="74" l="1"/>
  <c r="AZ12" i="74"/>
  <c r="BB11" i="74" l="1"/>
  <c r="BA12" i="74"/>
  <c r="BC11" i="74" l="1"/>
  <c r="BB12" i="74"/>
  <c r="BD11" i="74" l="1"/>
  <c r="BC12" i="74"/>
  <c r="C15" i="74"/>
  <c r="BE11" i="74" l="1"/>
  <c r="BD12" i="74"/>
  <c r="BF11" i="74" l="1"/>
  <c r="BE12" i="74"/>
  <c r="BG11" i="74" l="1"/>
  <c r="BF12" i="74"/>
  <c r="BH11" i="74" l="1"/>
  <c r="BG12" i="74"/>
  <c r="BI11" i="74" l="1"/>
  <c r="BH12" i="74"/>
  <c r="BJ11" i="74" l="1"/>
  <c r="BI12" i="74"/>
  <c r="BK11" i="74" l="1"/>
  <c r="BJ12" i="74"/>
  <c r="BL11" i="74" l="1"/>
  <c r="BK12" i="74"/>
  <c r="BM11" i="74" l="1"/>
  <c r="BL12" i="74"/>
  <c r="BN11" i="74" l="1"/>
  <c r="BM12" i="74"/>
  <c r="BO11" i="74" l="1"/>
  <c r="BN12" i="74"/>
  <c r="BP11" i="74" l="1"/>
  <c r="BO12" i="74"/>
  <c r="BQ11" i="74" l="1"/>
  <c r="BP12" i="74"/>
  <c r="BR11" i="74" l="1"/>
  <c r="BQ12" i="74"/>
  <c r="BS11" i="74" l="1"/>
  <c r="BR12" i="74"/>
  <c r="BT11" i="74" l="1"/>
  <c r="BS12" i="74"/>
  <c r="BU11" i="74" l="1"/>
  <c r="BT12" i="74"/>
  <c r="BV11" i="74" l="1"/>
  <c r="BU12" i="74"/>
  <c r="BW11" i="74" l="1"/>
  <c r="BV12" i="74"/>
  <c r="BX11" i="74" l="1"/>
  <c r="BW12" i="74"/>
  <c r="BY11" i="74" l="1"/>
  <c r="BX12" i="74"/>
  <c r="BZ11" i="74" l="1"/>
  <c r="BY12" i="74"/>
  <c r="CA11" i="74" l="1"/>
  <c r="BZ12" i="74"/>
  <c r="CB11" i="74" l="1"/>
  <c r="CA12" i="74"/>
  <c r="CC11" i="74" l="1"/>
  <c r="CB12" i="74"/>
  <c r="CD11" i="74" l="1"/>
  <c r="CC12" i="74"/>
  <c r="CE11" i="74" l="1"/>
  <c r="CD12" i="74"/>
  <c r="C16" i="74" s="1"/>
  <c r="CF11" i="74" l="1"/>
  <c r="CE12" i="74"/>
  <c r="CG11" i="74" l="1"/>
  <c r="CF12" i="74"/>
  <c r="CH11" i="74" l="1"/>
  <c r="CG12" i="74"/>
  <c r="CI11" i="74" l="1"/>
  <c r="CH12" i="74"/>
  <c r="CJ11" i="74" l="1"/>
  <c r="CI12" i="74"/>
  <c r="CK11" i="74" l="1"/>
  <c r="CJ12" i="74"/>
  <c r="CL11" i="74" l="1"/>
  <c r="CK12" i="74"/>
  <c r="CM11" i="74" l="1"/>
  <c r="CL12" i="74"/>
  <c r="CN11" i="74" l="1"/>
  <c r="CM12" i="74"/>
  <c r="CO11" i="74" l="1"/>
  <c r="CN12" i="74"/>
  <c r="CP11" i="74" l="1"/>
  <c r="CO12" i="74"/>
  <c r="CQ11" i="74" l="1"/>
  <c r="CP12" i="74"/>
  <c r="CR11" i="74" l="1"/>
  <c r="CQ12" i="74"/>
  <c r="CS11" i="74" l="1"/>
  <c r="CR12" i="74"/>
  <c r="CT11" i="74" l="1"/>
  <c r="CS12" i="74"/>
  <c r="CU11" i="74" l="1"/>
  <c r="CT12" i="74"/>
  <c r="CV11" i="74" l="1"/>
  <c r="CU12" i="74"/>
  <c r="CW11" i="74" l="1"/>
  <c r="CV12" i="74"/>
  <c r="CX11" i="74" l="1"/>
  <c r="CX12" i="74" s="1"/>
  <c r="CW12" i="74"/>
  <c r="C17" i="74" l="1"/>
</calcChain>
</file>

<file path=xl/sharedStrings.xml><?xml version="1.0" encoding="utf-8"?>
<sst xmlns="http://schemas.openxmlformats.org/spreadsheetml/2006/main" count="42" uniqueCount="38">
  <si>
    <t>年度</t>
    <rPh sb="0" eb="2">
      <t>ネンド</t>
    </rPh>
    <phoneticPr fontId="4"/>
  </si>
  <si>
    <t xml:space="preserve"> </t>
    <phoneticPr fontId="4"/>
  </si>
  <si>
    <r>
      <rPr>
        <b/>
        <sz val="11"/>
        <rFont val="Meiryo UI"/>
        <family val="3"/>
        <charset val="128"/>
      </rPr>
      <t>収束の確認</t>
    </r>
    <rPh sb="0" eb="2">
      <t>シュウソク</t>
    </rPh>
    <rPh sb="3" eb="5">
      <t>カクニン</t>
    </rPh>
    <phoneticPr fontId="4"/>
  </si>
  <si>
    <t>定率成長モデル</t>
    <rPh sb="0" eb="4">
      <t>テイリツセイチョウ</t>
    </rPh>
    <phoneticPr fontId="4"/>
  </si>
  <si>
    <t>　来期の配当</t>
    <rPh sb="1" eb="3">
      <t>ライキ</t>
    </rPh>
    <rPh sb="4" eb="6">
      <t>ハイトウ</t>
    </rPh>
    <phoneticPr fontId="4"/>
  </si>
  <si>
    <t>　株主資本コスト</t>
    <rPh sb="1" eb="3">
      <t>カブヌシ</t>
    </rPh>
    <rPh sb="3" eb="5">
      <t>シホン</t>
    </rPh>
    <phoneticPr fontId="4"/>
  </si>
  <si>
    <t>　配当成長率</t>
    <rPh sb="1" eb="6">
      <t>ハイトウセイチョウリツ</t>
    </rPh>
    <phoneticPr fontId="4"/>
  </si>
  <si>
    <t>仮定</t>
    <rPh sb="0" eb="2">
      <t>カテイ</t>
    </rPh>
    <phoneticPr fontId="4"/>
  </si>
  <si>
    <t xml:space="preserve">  PV(FCF)</t>
    <phoneticPr fontId="4"/>
  </si>
  <si>
    <t>配当（期待FCF）</t>
    <rPh sb="0" eb="2">
      <t>ハイトウ</t>
    </rPh>
    <rPh sb="3" eb="5">
      <t>キタイ</t>
    </rPh>
    <phoneticPr fontId="4"/>
  </si>
  <si>
    <t xml:space="preserve">  1~10 合計</t>
    <rPh sb="7" eb="9">
      <t>ゴウケイ</t>
    </rPh>
    <phoneticPr fontId="4"/>
  </si>
  <si>
    <t xml:space="preserve">  1~30 合計</t>
    <rPh sb="7" eb="9">
      <t>ゴウケイ</t>
    </rPh>
    <phoneticPr fontId="4"/>
  </si>
  <si>
    <t xml:space="preserve">  1~50 合計</t>
    <rPh sb="7" eb="9">
      <t>ゴウケイ</t>
    </rPh>
    <phoneticPr fontId="4"/>
  </si>
  <si>
    <t xml:space="preserve">  1~80 合計</t>
    <rPh sb="7" eb="9">
      <t>ゴウケイ</t>
    </rPh>
    <phoneticPr fontId="4"/>
  </si>
  <si>
    <t xml:space="preserve">  1~100 合計</t>
    <rPh sb="8" eb="10">
      <t>ゴウケイ</t>
    </rPh>
    <phoneticPr fontId="4"/>
  </si>
  <si>
    <r>
      <rPr>
        <b/>
        <sz val="11"/>
        <rFont val="Meiryo UI"/>
        <family val="3"/>
        <charset val="128"/>
      </rPr>
      <t>サステナブル成長モデル</t>
    </r>
    <rPh sb="6" eb="8">
      <t>セイチョウ</t>
    </rPh>
    <phoneticPr fontId="4"/>
  </si>
  <si>
    <r>
      <rPr>
        <b/>
        <sz val="11"/>
        <rFont val="Meiryo UI"/>
        <family val="3"/>
        <charset val="128"/>
      </rPr>
      <t>理論株価（価値評価）</t>
    </r>
    <rPh sb="0" eb="4">
      <t>リロンカブカ</t>
    </rPh>
    <rPh sb="5" eb="9">
      <t>カチヒョウカ</t>
    </rPh>
    <phoneticPr fontId="4"/>
  </si>
  <si>
    <r>
      <rPr>
        <sz val="11"/>
        <rFont val="Meiryo UI"/>
        <family val="3"/>
        <charset val="128"/>
      </rPr>
      <t>仮定</t>
    </r>
    <rPh sb="0" eb="2">
      <t>カテイ</t>
    </rPh>
    <phoneticPr fontId="4"/>
  </si>
  <si>
    <r>
      <rPr>
        <sz val="11"/>
        <rFont val="Meiryo UI"/>
        <family val="3"/>
        <charset val="128"/>
      </rPr>
      <t>投下資本</t>
    </r>
    <rPh sb="0" eb="2">
      <t>トウカ</t>
    </rPh>
    <rPh sb="2" eb="4">
      <t>シホン</t>
    </rPh>
    <phoneticPr fontId="4"/>
  </si>
  <si>
    <r>
      <rPr>
        <b/>
        <sz val="11"/>
        <rFont val="Meiryo UI"/>
        <family val="3"/>
        <charset val="128"/>
      </rPr>
      <t>感度分析</t>
    </r>
    <r>
      <rPr>
        <b/>
        <sz val="11"/>
        <rFont val="Arial"/>
        <family val="2"/>
      </rPr>
      <t xml:space="preserve"> (</t>
    </r>
    <r>
      <rPr>
        <b/>
        <sz val="11"/>
        <rFont val="Meiryo UI"/>
        <family val="3"/>
        <charset val="128"/>
      </rPr>
      <t>データテーブル</t>
    </r>
    <r>
      <rPr>
        <b/>
        <sz val="11"/>
        <rFont val="Arial"/>
        <family val="2"/>
      </rPr>
      <t>)</t>
    </r>
    <rPh sb="0" eb="2">
      <t>カンド</t>
    </rPh>
    <rPh sb="2" eb="4">
      <t>ブンセキ</t>
    </rPh>
    <phoneticPr fontId="4"/>
  </si>
  <si>
    <r>
      <rPr>
        <sz val="11"/>
        <rFont val="Meiryo UI"/>
        <family val="3"/>
        <charset val="128"/>
      </rPr>
      <t>再投資比率</t>
    </r>
    <rPh sb="0" eb="5">
      <t>サイトウシヒリツ</t>
    </rPh>
    <phoneticPr fontId="4"/>
  </si>
  <si>
    <r>
      <rPr>
        <sz val="11"/>
        <rFont val="Meiryo UI"/>
        <family val="3"/>
        <charset val="128"/>
      </rPr>
      <t>配当性向</t>
    </r>
    <rPh sb="0" eb="4">
      <t>ハイトウセイコウ</t>
    </rPh>
    <phoneticPr fontId="4"/>
  </si>
  <si>
    <r>
      <rPr>
        <sz val="11"/>
        <rFont val="Meiryo UI"/>
        <family val="3"/>
        <charset val="128"/>
      </rPr>
      <t>成長率</t>
    </r>
    <rPh sb="0" eb="3">
      <t>セイチョウリツ</t>
    </rPh>
    <phoneticPr fontId="4"/>
  </si>
  <si>
    <r>
      <t xml:space="preserve"> </t>
    </r>
    <r>
      <rPr>
        <sz val="11"/>
        <rFont val="Meiryo UI"/>
        <family val="3"/>
        <charset val="128"/>
      </rPr>
      <t>利益率</t>
    </r>
    <r>
      <rPr>
        <sz val="11"/>
        <rFont val="Arial"/>
        <family val="2"/>
      </rPr>
      <t>×</t>
    </r>
    <r>
      <rPr>
        <sz val="11"/>
        <rFont val="Meiryo UI"/>
        <family val="3"/>
        <charset val="128"/>
      </rPr>
      <t>再投資比率</t>
    </r>
    <rPh sb="1" eb="4">
      <t>リエキリツ</t>
    </rPh>
    <rPh sb="5" eb="8">
      <t>サイトウシ</t>
    </rPh>
    <rPh sb="8" eb="10">
      <t>ヒリツ</t>
    </rPh>
    <phoneticPr fontId="4"/>
  </si>
  <si>
    <r>
      <rPr>
        <sz val="11"/>
        <rFont val="Meiryo UI"/>
        <family val="3"/>
        <charset val="128"/>
      </rPr>
      <t>資本コスト</t>
    </r>
    <r>
      <rPr>
        <sz val="11"/>
        <rFont val="游ゴシック"/>
        <family val="2"/>
        <charset val="128"/>
      </rPr>
      <t>（</t>
    </r>
    <r>
      <rPr>
        <sz val="11"/>
        <rFont val="Arial"/>
        <family val="2"/>
      </rPr>
      <t>CoC</t>
    </r>
    <r>
      <rPr>
        <sz val="11"/>
        <rFont val="游ゴシック"/>
        <family val="2"/>
        <charset val="128"/>
      </rPr>
      <t>）</t>
    </r>
    <rPh sb="0" eb="2">
      <t>シホン</t>
    </rPh>
    <phoneticPr fontId="4"/>
  </si>
  <si>
    <r>
      <rPr>
        <sz val="11"/>
        <rFont val="Meiryo UI"/>
        <family val="3"/>
        <charset val="128"/>
      </rPr>
      <t>年度</t>
    </r>
    <rPh sb="0" eb="2">
      <t>ネンド</t>
    </rPh>
    <phoneticPr fontId="4"/>
  </si>
  <si>
    <t>PBR</t>
    <phoneticPr fontId="4"/>
  </si>
  <si>
    <r>
      <rPr>
        <sz val="11"/>
        <rFont val="Meiryo UI"/>
        <family val="3"/>
        <charset val="128"/>
      </rPr>
      <t>期首資本</t>
    </r>
    <rPh sb="0" eb="2">
      <t>キシュ</t>
    </rPh>
    <rPh sb="2" eb="4">
      <t>シホン</t>
    </rPh>
    <phoneticPr fontId="4"/>
  </si>
  <si>
    <r>
      <rPr>
        <sz val="11"/>
        <rFont val="Meiryo UI"/>
        <family val="3"/>
        <charset val="128"/>
      </rPr>
      <t>利益</t>
    </r>
    <rPh sb="0" eb="2">
      <t>リエキ</t>
    </rPh>
    <phoneticPr fontId="4"/>
  </si>
  <si>
    <r>
      <rPr>
        <sz val="11"/>
        <rFont val="Meiryo UI"/>
        <family val="3"/>
        <charset val="128"/>
      </rPr>
      <t>再投資</t>
    </r>
    <rPh sb="0" eb="3">
      <t>サイトウシ</t>
    </rPh>
    <phoneticPr fontId="4"/>
  </si>
  <si>
    <r>
      <rPr>
        <b/>
        <sz val="11"/>
        <rFont val="游ゴシック"/>
        <family val="3"/>
        <charset val="128"/>
      </rPr>
      <t>感度分析</t>
    </r>
    <r>
      <rPr>
        <b/>
        <sz val="11"/>
        <rFont val="Arial"/>
        <family val="2"/>
      </rPr>
      <t xml:space="preserve"> (</t>
    </r>
    <r>
      <rPr>
        <b/>
        <sz val="11"/>
        <rFont val="游ゴシック"/>
        <family val="3"/>
        <charset val="128"/>
      </rPr>
      <t>データテーブル</t>
    </r>
    <r>
      <rPr>
        <b/>
        <sz val="11"/>
        <rFont val="Arial"/>
        <family val="2"/>
      </rPr>
      <t>)</t>
    </r>
    <rPh sb="0" eb="2">
      <t>カンド</t>
    </rPh>
    <rPh sb="2" eb="4">
      <t>ブンセキ</t>
    </rPh>
    <phoneticPr fontId="4"/>
  </si>
  <si>
    <r>
      <rPr>
        <sz val="11"/>
        <rFont val="Meiryo UI"/>
        <family val="3"/>
        <charset val="128"/>
      </rPr>
      <t>配当</t>
    </r>
    <r>
      <rPr>
        <sz val="11"/>
        <rFont val="Arial"/>
        <family val="2"/>
      </rPr>
      <t xml:space="preserve"> (FCF)</t>
    </r>
    <rPh sb="0" eb="2">
      <t>ハイトウ</t>
    </rPh>
    <phoneticPr fontId="4"/>
  </si>
  <si>
    <r>
      <rPr>
        <sz val="11"/>
        <rFont val="Meiryo UI"/>
        <family val="3"/>
        <charset val="128"/>
      </rPr>
      <t>期末資本</t>
    </r>
    <rPh sb="0" eb="2">
      <t>キマツ</t>
    </rPh>
    <rPh sb="2" eb="4">
      <t>シホン</t>
    </rPh>
    <phoneticPr fontId="4"/>
  </si>
  <si>
    <r>
      <rPr>
        <sz val="11"/>
        <rFont val="Meiryo UI"/>
        <family val="3"/>
        <charset val="128"/>
      </rPr>
      <t>利益成長率</t>
    </r>
    <rPh sb="0" eb="2">
      <t>リエキ</t>
    </rPh>
    <rPh sb="2" eb="5">
      <t>セイチョウリツ</t>
    </rPh>
    <phoneticPr fontId="4"/>
  </si>
  <si>
    <t>-</t>
    <phoneticPr fontId="4"/>
  </si>
  <si>
    <r>
      <rPr>
        <sz val="11"/>
        <rFont val="Meiryo UI"/>
        <family val="3"/>
        <charset val="128"/>
      </rPr>
      <t>配当成長率</t>
    </r>
    <rPh sb="0" eb="2">
      <t>ハイトウ</t>
    </rPh>
    <rPh sb="2" eb="5">
      <t>セイチョウリツ</t>
    </rPh>
    <phoneticPr fontId="4"/>
  </si>
  <si>
    <r>
      <rPr>
        <sz val="11"/>
        <rFont val="Meiryo UI"/>
        <family val="3"/>
        <charset val="128"/>
      </rPr>
      <t>資本成長率</t>
    </r>
    <rPh sb="0" eb="2">
      <t>シホン</t>
    </rPh>
    <rPh sb="2" eb="5">
      <t>セイチョウリツ</t>
    </rPh>
    <phoneticPr fontId="4"/>
  </si>
  <si>
    <r>
      <rPr>
        <sz val="11"/>
        <rFont val="Meiryo UI"/>
        <family val="3"/>
        <charset val="128"/>
      </rPr>
      <t xml:space="preserve">資本利益率 </t>
    </r>
    <r>
      <rPr>
        <sz val="11"/>
        <rFont val="Arial"/>
        <family val="3"/>
      </rPr>
      <t>ROE</t>
    </r>
    <rPh sb="0" eb="5">
      <t>シホンリエキリツ</t>
    </rPh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</si>
</sst>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.0;[Red]\-#,##0.0"/>
    <numFmt numFmtId="177" formatCode="0.0%"/>
  </numFmts>
  <fonts count="35" x14ac:knownFonts="1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Times New Roman"/>
      <family val="1"/>
    </font>
    <font>
      <sz val="11"/>
      <name val="Arial"/>
      <family val="2"/>
    </font>
    <font>
      <sz val="10"/>
      <name val="Arial"/>
      <family val="2"/>
    </font>
    <font>
      <sz val="10"/>
      <name val="Meiryo UI"/>
      <family val="3"/>
      <charset val="128"/>
    </font>
    <font>
      <sz val="11"/>
      <name val="Meiryo UI"/>
      <family val="3"/>
      <charset val="128"/>
    </font>
    <font>
      <b/>
      <sz val="11"/>
      <name val="Meiryo UI"/>
      <family val="3"/>
      <charset val="128"/>
    </font>
    <font>
      <b/>
      <sz val="11"/>
      <name val="Arial"/>
      <family val="2"/>
    </font>
    <font>
      <sz val="11"/>
      <color rgb="FF0000FF"/>
      <name val="Arial"/>
      <family val="2"/>
    </font>
    <font>
      <sz val="11"/>
      <color theme="0" tint="-0.14999847407452621"/>
      <name val="Arial"/>
      <family val="2"/>
    </font>
    <font>
      <sz val="11"/>
      <name val="Arial"/>
      <family val="3"/>
      <charset val="128"/>
    </font>
    <font>
      <sz val="11"/>
      <name val="游ゴシック"/>
      <family val="2"/>
      <charset val="128"/>
    </font>
    <font>
      <b/>
      <sz val="11"/>
      <name val="游ゴシック"/>
      <family val="3"/>
      <charset val="128"/>
    </font>
    <font>
      <sz val="11"/>
      <name val="Arial"/>
      <family val="3"/>
    </font>
  </fonts>
  <fills count="26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rgb="FFCCFFFF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5">
    <xf numFmtId="0" fontId="0" fillId="0" borderId="0">
      <alignment vertical="center"/>
    </xf>
    <xf numFmtId="0" fontId="5" fillId="2" borderId="0" applyNumberFormat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5" fillId="5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6" fillId="12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20" borderId="1" applyNumberFormat="0" applyAlignment="0" applyProtection="0">
      <alignment vertical="center"/>
    </xf>
    <xf numFmtId="0" fontId="9" fillId="21" borderId="0" applyNumberFormat="0" applyBorder="0" applyAlignment="0" applyProtection="0">
      <alignment vertical="center"/>
    </xf>
    <xf numFmtId="0" fontId="3" fillId="22" borderId="2" applyNumberFormat="0" applyFont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3" borderId="0" applyNumberFormat="0" applyBorder="0" applyAlignment="0" applyProtection="0">
      <alignment vertical="center"/>
    </xf>
    <xf numFmtId="0" fontId="12" fillId="23" borderId="4" applyNumberFormat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38" fontId="3" fillId="0" borderId="0" applyFont="0" applyFill="0" applyBorder="0" applyAlignment="0" applyProtection="0">
      <alignment vertical="center"/>
    </xf>
    <xf numFmtId="0" fontId="14" fillId="0" borderId="5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23" borderId="9" applyNumberFormat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7" borderId="4" applyNumberFormat="0" applyAlignment="0" applyProtection="0">
      <alignment vertical="center"/>
    </xf>
    <xf numFmtId="0" fontId="21" fillId="4" borderId="0" applyNumberFormat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2" fillId="0" borderId="0"/>
    <xf numFmtId="10" fontId="22" fillId="0" borderId="0" applyFont="0" applyFill="0" applyBorder="0" applyAlignment="0" applyProtection="0"/>
    <xf numFmtId="38" fontId="2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38" fontId="1" fillId="0" borderId="0" applyFont="0" applyFill="0" applyBorder="0" applyAlignment="0" applyProtection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38" fontId="24" fillId="24" borderId="10" xfId="33" applyFont="1" applyFill="1" applyBorder="1">
      <alignment vertical="center"/>
    </xf>
    <xf numFmtId="0" fontId="23" fillId="0" borderId="0" xfId="51" applyFont="1">
      <alignment vertical="center"/>
    </xf>
    <xf numFmtId="0" fontId="27" fillId="0" borderId="0" xfId="0" applyFont="1">
      <alignment vertical="center"/>
    </xf>
    <xf numFmtId="0" fontId="26" fillId="0" borderId="0" xfId="0" applyFont="1">
      <alignment vertical="center"/>
    </xf>
    <xf numFmtId="0" fontId="23" fillId="0" borderId="0" xfId="0" applyFont="1">
      <alignment vertical="center"/>
    </xf>
    <xf numFmtId="0" fontId="28" fillId="0" borderId="0" xfId="0" applyFont="1">
      <alignment vertical="center"/>
    </xf>
    <xf numFmtId="0" fontId="24" fillId="0" borderId="0" xfId="0" applyFont="1">
      <alignment vertical="center"/>
    </xf>
    <xf numFmtId="38" fontId="29" fillId="0" borderId="0" xfId="33" applyFont="1">
      <alignment vertical="center"/>
    </xf>
    <xf numFmtId="9" fontId="29" fillId="0" borderId="0" xfId="0" applyNumberFormat="1" applyFont="1">
      <alignment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176" fontId="23" fillId="0" borderId="0" xfId="33" applyNumberFormat="1" applyFont="1">
      <alignment vertical="center"/>
    </xf>
    <xf numFmtId="40" fontId="23" fillId="0" borderId="0" xfId="33" applyNumberFormat="1" applyFont="1">
      <alignment vertical="center"/>
    </xf>
    <xf numFmtId="40" fontId="23" fillId="0" borderId="0" xfId="0" applyNumberFormat="1" applyFont="1">
      <alignment vertical="center"/>
    </xf>
    <xf numFmtId="0" fontId="25" fillId="0" borderId="0" xfId="0" applyFont="1">
      <alignment vertical="center"/>
    </xf>
    <xf numFmtId="38" fontId="23" fillId="0" borderId="0" xfId="0" applyNumberFormat="1" applyFont="1">
      <alignment vertical="center"/>
    </xf>
    <xf numFmtId="0" fontId="25" fillId="0" borderId="0" xfId="0" applyFont="1" applyAlignment="1">
      <alignment horizontal="right" vertical="center"/>
    </xf>
    <xf numFmtId="40" fontId="23" fillId="24" borderId="0" xfId="33" applyNumberFormat="1" applyFont="1" applyFill="1">
      <alignment vertical="center"/>
    </xf>
    <xf numFmtId="9" fontId="29" fillId="0" borderId="0" xfId="54" applyFont="1">
      <alignment vertical="center"/>
    </xf>
    <xf numFmtId="38" fontId="23" fillId="24" borderId="10" xfId="0" applyNumberFormat="1" applyFont="1" applyFill="1" applyBorder="1">
      <alignment vertical="center"/>
    </xf>
    <xf numFmtId="38" fontId="30" fillId="25" borderId="0" xfId="0" applyNumberFormat="1" applyFont="1" applyFill="1">
      <alignment vertical="center"/>
    </xf>
    <xf numFmtId="9" fontId="23" fillId="25" borderId="0" xfId="0" applyNumberFormat="1" applyFont="1" applyFill="1">
      <alignment vertical="center"/>
    </xf>
    <xf numFmtId="9" fontId="23" fillId="0" borderId="0" xfId="0" applyNumberFormat="1" applyFont="1">
      <alignment vertical="center"/>
    </xf>
    <xf numFmtId="38" fontId="23" fillId="0" borderId="0" xfId="33" applyFont="1">
      <alignment vertical="center"/>
    </xf>
    <xf numFmtId="177" fontId="23" fillId="0" borderId="0" xfId="54" applyNumberFormat="1" applyFont="1">
      <alignment vertical="center"/>
    </xf>
    <xf numFmtId="0" fontId="31" fillId="0" borderId="0" xfId="0" applyFont="1">
      <alignment vertical="center"/>
    </xf>
    <xf numFmtId="177" fontId="29" fillId="0" borderId="0" xfId="54" applyNumberFormat="1" applyFont="1">
      <alignment vertical="center"/>
    </xf>
    <xf numFmtId="0" fontId="23" fillId="0" borderId="10" xfId="0" applyFont="1" applyBorder="1">
      <alignment vertical="center"/>
    </xf>
    <xf numFmtId="0" fontId="23" fillId="0" borderId="10" xfId="0" applyFont="1" applyBorder="1" applyAlignment="1">
      <alignment horizontal="center" vertical="center"/>
    </xf>
    <xf numFmtId="38" fontId="23" fillId="0" borderId="10" xfId="0" applyNumberFormat="1" applyFont="1" applyBorder="1">
      <alignment vertical="center"/>
    </xf>
    <xf numFmtId="176" fontId="23" fillId="24" borderId="10" xfId="33" applyNumberFormat="1" applyFont="1" applyFill="1" applyBorder="1">
      <alignment vertical="center"/>
    </xf>
    <xf numFmtId="176" fontId="30" fillId="25" borderId="0" xfId="0" applyNumberFormat="1" applyFont="1" applyFill="1">
      <alignment vertical="center"/>
    </xf>
    <xf numFmtId="40" fontId="23" fillId="0" borderId="0" xfId="33" applyNumberFormat="1" applyFont="1" applyFill="1">
      <alignment vertical="center"/>
    </xf>
    <xf numFmtId="177" fontId="23" fillId="0" borderId="10" xfId="54" applyNumberFormat="1" applyFont="1" applyFill="1" applyBorder="1">
      <alignment vertical="center"/>
    </xf>
    <xf numFmtId="0" fontId="23" fillId="0" borderId="0" xfId="0" applyFont="1" applyAlignment="1">
      <alignment horizontal="right" vertical="center"/>
    </xf>
  </cellXfs>
  <cellStyles count="55">
    <cellStyle name="20% - アクセント 1" xfId="1" builtinId="30" customBuiltin="1"/>
    <cellStyle name="20% - アクセント 2" xfId="2" builtinId="34" customBuiltin="1"/>
    <cellStyle name="20% - アクセント 3" xfId="3" builtinId="38" customBuiltin="1"/>
    <cellStyle name="20% - アクセント 4" xfId="4" builtinId="42" customBuiltin="1"/>
    <cellStyle name="20% - アクセント 5" xfId="5" builtinId="46" customBuiltin="1"/>
    <cellStyle name="20% - アクセント 6" xfId="6" builtinId="50" customBuiltin="1"/>
    <cellStyle name="40% - アクセント 1" xfId="7" builtinId="31" customBuiltin="1"/>
    <cellStyle name="40% - アクセント 2" xfId="8" builtinId="35" customBuiltin="1"/>
    <cellStyle name="40% - アクセント 3" xfId="9" builtinId="39" customBuiltin="1"/>
    <cellStyle name="40% - アクセント 4" xfId="10" builtinId="43" customBuiltin="1"/>
    <cellStyle name="40% - アクセント 5" xfId="11" builtinId="47" customBuiltin="1"/>
    <cellStyle name="40% - アクセント 6" xfId="12" builtinId="51" customBuiltin="1"/>
    <cellStyle name="60% - アクセント 1" xfId="13" builtinId="32" customBuiltin="1"/>
    <cellStyle name="60% - アクセント 2" xfId="14" builtinId="36" customBuiltin="1"/>
    <cellStyle name="60% - アクセント 3" xfId="15" builtinId="40" customBuiltin="1"/>
    <cellStyle name="60% - アクセント 4" xfId="16" builtinId="44" customBuiltin="1"/>
    <cellStyle name="60% - アクセント 5" xfId="17" builtinId="48" customBuiltin="1"/>
    <cellStyle name="60% - アクセント 6" xfId="18" builtinId="52" customBuiltin="1"/>
    <cellStyle name="アクセント 1" xfId="19" builtinId="29" customBuiltin="1"/>
    <cellStyle name="アクセント 2" xfId="20" builtinId="33" customBuiltin="1"/>
    <cellStyle name="アクセント 3" xfId="21" builtinId="37" customBuiltin="1"/>
    <cellStyle name="アクセント 4" xfId="22" builtinId="41" customBuiltin="1"/>
    <cellStyle name="アクセント 5" xfId="23" builtinId="45" customBuiltin="1"/>
    <cellStyle name="アクセント 6" xfId="24" builtinId="49" customBuiltin="1"/>
    <cellStyle name="タイトル" xfId="25" builtinId="15" customBuiltin="1"/>
    <cellStyle name="チェック セル" xfId="26" builtinId="23" customBuiltin="1"/>
    <cellStyle name="どちらでもない" xfId="27" builtinId="28" customBuiltin="1"/>
    <cellStyle name="パーセント" xfId="54" builtinId="5"/>
    <cellStyle name="パーセント 2" xfId="43" xr:uid="{00000000-0005-0000-0000-00001C000000}"/>
    <cellStyle name="パーセント 3" xfId="47" xr:uid="{00000000-0005-0000-0000-00001D000000}"/>
    <cellStyle name="パーセント 4" xfId="53" xr:uid="{00000000-0005-0000-0000-00001E000000}"/>
    <cellStyle name="メモ" xfId="28" builtinId="10" customBuiltin="1"/>
    <cellStyle name="リンク セル" xfId="29" builtinId="24" customBuiltin="1"/>
    <cellStyle name="悪い" xfId="30" builtinId="27" customBuiltin="1"/>
    <cellStyle name="計算" xfId="31" builtinId="22" customBuiltin="1"/>
    <cellStyle name="警告文" xfId="32" builtinId="11" customBuiltin="1"/>
    <cellStyle name="桁区切り" xfId="33" builtinId="6"/>
    <cellStyle name="桁区切り 2" xfId="44" xr:uid="{00000000-0005-0000-0000-000025000000}"/>
    <cellStyle name="桁区切り 2 2" xfId="50" xr:uid="{00000000-0005-0000-0000-000026000000}"/>
    <cellStyle name="桁区切り 2 3" xfId="52" xr:uid="{00000000-0005-0000-0000-000027000000}"/>
    <cellStyle name="桁区切り 3" xfId="48" xr:uid="{00000000-0005-0000-0000-000028000000}"/>
    <cellStyle name="見出し 1" xfId="34" builtinId="16" customBuiltin="1"/>
    <cellStyle name="見出し 2" xfId="35" builtinId="17" customBuiltin="1"/>
    <cellStyle name="見出し 3" xfId="36" builtinId="18" customBuiltin="1"/>
    <cellStyle name="見出し 4" xfId="37" builtinId="19" customBuiltin="1"/>
    <cellStyle name="集計" xfId="38" builtinId="25" customBuiltin="1"/>
    <cellStyle name="出力" xfId="39" builtinId="21" customBuiltin="1"/>
    <cellStyle name="説明文" xfId="40" builtinId="53" customBuiltin="1"/>
    <cellStyle name="入力" xfId="41" builtinId="20" customBuiltin="1"/>
    <cellStyle name="標準" xfId="0" builtinId="0"/>
    <cellStyle name="標準 2" xfId="45" xr:uid="{00000000-0005-0000-0000-000032000000}"/>
    <cellStyle name="標準 2 2" xfId="49" xr:uid="{00000000-0005-0000-0000-000033000000}"/>
    <cellStyle name="標準 2 3" xfId="51" xr:uid="{00000000-0005-0000-0000-000034000000}"/>
    <cellStyle name="標準 3" xfId="46" xr:uid="{00000000-0005-0000-0000-000035000000}"/>
    <cellStyle name="良い" xfId="42" builtinId="26" customBuiltin="1"/>
  </cellStyles>
  <dxfs count="0"/>
  <tableStyles count="0" defaultTableStyle="TableStyleMedium9" defaultPivotStyle="PivotStyleLight16"/>
  <colors>
    <mruColors>
      <color rgb="FFCCFFFF"/>
      <color rgb="FFFFFF99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295275</xdr:colOff>
      <xdr:row>5</xdr:row>
      <xdr:rowOff>174625</xdr:rowOff>
    </xdr:from>
    <xdr:to>
      <xdr:col>6</xdr:col>
      <xdr:colOff>495300</xdr:colOff>
      <xdr:row>6</xdr:row>
      <xdr:rowOff>203200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CF234F4F-1AA2-423C-A6DD-D282DD595EF0}"/>
            </a:ext>
          </a:extLst>
        </xdr:cNvPr>
        <xdr:cNvSpPr txBox="1"/>
      </xdr:nvSpPr>
      <xdr:spPr>
        <a:xfrm>
          <a:off x="3870325" y="1343025"/>
          <a:ext cx="523875" cy="257175"/>
        </a:xfrm>
        <a:prstGeom prst="rect">
          <a:avLst/>
        </a:prstGeom>
        <a:solidFill>
          <a:schemeClr val="lt1"/>
        </a:solidFill>
        <a:ln w="63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CoC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209549</xdr:colOff>
      <xdr:row>2</xdr:row>
      <xdr:rowOff>190500</xdr:rowOff>
    </xdr:from>
    <xdr:to>
      <xdr:col>10</xdr:col>
      <xdr:colOff>407099</xdr:colOff>
      <xdr:row>3</xdr:row>
      <xdr:rowOff>213900</xdr:rowOff>
    </xdr:to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136015DF-A51B-4BA9-A5F1-046D802ECE3F}"/>
            </a:ext>
          </a:extLst>
        </xdr:cNvPr>
        <xdr:cNvSpPr txBox="1"/>
      </xdr:nvSpPr>
      <xdr:spPr>
        <a:xfrm>
          <a:off x="5594349" y="673100"/>
          <a:ext cx="1404050" cy="25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成長投資比率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成長率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5</xdr:col>
      <xdr:colOff>342900</xdr:colOff>
      <xdr:row>14</xdr:row>
      <xdr:rowOff>180975</xdr:rowOff>
    </xdr:from>
    <xdr:to>
      <xdr:col>6</xdr:col>
      <xdr:colOff>542925</xdr:colOff>
      <xdr:row>15</xdr:row>
      <xdr:rowOff>209550</xdr:rowOff>
    </xdr:to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AB4EFA1C-8F90-42FD-B174-D06E5039356C}"/>
            </a:ext>
          </a:extLst>
        </xdr:cNvPr>
        <xdr:cNvSpPr txBox="1"/>
      </xdr:nvSpPr>
      <xdr:spPr>
        <a:xfrm>
          <a:off x="3898900" y="3406775"/>
          <a:ext cx="542925" cy="257175"/>
        </a:xfrm>
        <a:prstGeom prst="rect">
          <a:avLst/>
        </a:prstGeom>
        <a:solidFill>
          <a:schemeClr val="lt1"/>
        </a:solidFill>
        <a:ln w="6350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en-US" altLang="ja-JP" sz="1100">
              <a:latin typeface="Meiryo UI" panose="020B0604030504040204" pitchFamily="50" charset="-128"/>
              <a:ea typeface="Meiryo UI" panose="020B0604030504040204" pitchFamily="50" charset="-128"/>
            </a:rPr>
            <a:t>CoC</a:t>
          </a:r>
          <a:endParaRPr kumimoji="1" lang="ja-JP" altLang="en-US" sz="11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8</xdr:col>
      <xdr:colOff>190499</xdr:colOff>
      <xdr:row>11</xdr:row>
      <xdr:rowOff>190499</xdr:rowOff>
    </xdr:from>
    <xdr:to>
      <xdr:col>10</xdr:col>
      <xdr:colOff>388049</xdr:colOff>
      <xdr:row>12</xdr:row>
      <xdr:rowOff>213899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C37B5B50-C1EB-47D9-A787-1B9975B659ED}"/>
            </a:ext>
          </a:extLst>
        </xdr:cNvPr>
        <xdr:cNvSpPr txBox="1"/>
      </xdr:nvSpPr>
      <xdr:spPr>
        <a:xfrm>
          <a:off x="5575299" y="2730499"/>
          <a:ext cx="1404050" cy="252000"/>
        </a:xfrm>
        <a:prstGeom prst="rect">
          <a:avLst/>
        </a:prstGeom>
        <a:solidFill>
          <a:schemeClr val="lt1"/>
        </a:solidFill>
        <a:ln w="9525" cmpd="sng">
          <a:solidFill>
            <a:sysClr val="windowText" lastClr="00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成長投資比率 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(</a:t>
          </a:r>
          <a:r>
            <a:rPr kumimoji="1" lang="ja-JP" altLang="en-US" sz="1000">
              <a:latin typeface="Meiryo UI" panose="020B0604030504040204" pitchFamily="50" charset="-128"/>
              <a:ea typeface="Meiryo UI" panose="020B0604030504040204" pitchFamily="50" charset="-128"/>
            </a:rPr>
            <a:t>成長率</a:t>
          </a:r>
          <a:r>
            <a:rPr kumimoji="1" lang="en-US" altLang="ja-JP" sz="1000">
              <a:latin typeface="Meiryo UI" panose="020B0604030504040204" pitchFamily="50" charset="-128"/>
              <a:ea typeface="Meiryo UI" panose="020B0604030504040204" pitchFamily="50" charset="-128"/>
            </a:rPr>
            <a:t>)</a:t>
          </a:r>
          <a:endParaRPr kumimoji="1" lang="ja-JP" altLang="en-US" sz="1000"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&#20140;&#22823;%20&#12458;&#12522;&#12472;&#12490;&#12523;%20%20F&#12475;&#12511;&#12490;&#12540;%20EBP/&#12501;&#12449;&#12452;&#12490;&#12531;&#12473;&#30701;&#26399;&#38598;&#20013;&#35611;&#24231;/&#25945;&#26448;&#12465;&#12540;&#12473;&#65288;&#12505;&#12531;&#12481;&#12515;&#12540;&#65289;/&#12505;&#12531;&#12481;&#12515;&#12540;&#12398;&#35413;&#20385;&#65288;ORN&#65289;.xlsx" TargetMode="External"/><Relationship Id="rId1" Type="http://schemas.openxmlformats.org/officeDocument/2006/relationships/externalLinkPath" Target="/&#20140;&#22823;%20&#12458;&#12522;&#12472;&#12490;&#12523;%20%20F&#12475;&#12511;&#12490;&#12540;%20EBP/&#12501;&#12449;&#12452;&#12490;&#12531;&#12473;&#30701;&#26399;&#38598;&#20013;&#35611;&#24231;/&#25945;&#26448;&#12465;&#12540;&#12473;&#65288;&#12505;&#12531;&#12481;&#12515;&#12540;&#65289;/&#12505;&#12531;&#12481;&#12515;&#12540;&#12398;&#35413;&#20385;&#65288;ORN&#65289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Exhibit 1-Projections"/>
      <sheetName val="Exhibit 2-Comparables"/>
      <sheetName val="Exhibit 3 Public - Private Comp"/>
      <sheetName val="Exhibit 4 Valuation (VC View)"/>
      <sheetName val="Exhibit 5 Valuation (Perez View"/>
      <sheetName val="Exhibit 6  DCF valuation"/>
    </sheetNames>
    <sheetDataSet>
      <sheetData sheetId="0"/>
      <sheetData sheetId="1"/>
      <sheetData sheetId="2"/>
      <sheetData sheetId="3">
        <row r="11">
          <cell r="I11">
            <v>157.85</v>
          </cell>
        </row>
        <row r="18">
          <cell r="C18">
            <v>0.5</v>
          </cell>
        </row>
      </sheetData>
      <sheetData sheetId="4"/>
      <sheetData sheetId="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3.5" x14ac:dyDescent="0.15"/>
  <sheetData/>
  <phoneticPr fontId="4"/>
  <pageMargins left="0.75" right="0.75" top="1" bottom="1" header="0.51200000000000001" footer="0.51200000000000001"/>
  <headerFooter alignWithMargins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8D865E-7819-45CC-87D7-21A6FA3FDF59}">
  <dimension ref="A1:DE154"/>
  <sheetViews>
    <sheetView zoomScale="110" zoomScaleNormal="110" workbookViewId="0">
      <selection activeCell="H20" sqref="H20"/>
    </sheetView>
  </sheetViews>
  <sheetFormatPr defaultRowHeight="15.75" x14ac:dyDescent="0.15"/>
  <cols>
    <col min="1" max="1" width="4.625" style="5" customWidth="1"/>
    <col min="2" max="2" width="14.625" style="4" customWidth="1"/>
    <col min="3" max="109" width="8.625" style="5" customWidth="1"/>
    <col min="110" max="178" width="8.625" customWidth="1"/>
  </cols>
  <sheetData>
    <row r="1" spans="1:102" s="7" customFormat="1" ht="20.100000000000001" customHeight="1" x14ac:dyDescent="0.15">
      <c r="A1" s="5"/>
      <c r="B1" s="3" t="s">
        <v>3</v>
      </c>
      <c r="C1" s="5"/>
      <c r="D1" s="5"/>
      <c r="E1" s="5"/>
      <c r="F1" s="5"/>
      <c r="G1" s="6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</row>
    <row r="2" spans="1:102" s="7" customFormat="1" ht="18" customHeight="1" x14ac:dyDescent="0.15">
      <c r="A2" s="5"/>
      <c r="B2" s="15" t="s">
        <v>7</v>
      </c>
      <c r="C2" s="5"/>
      <c r="D2" s="5"/>
      <c r="E2" s="5"/>
      <c r="F2" s="5"/>
      <c r="G2" s="16"/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</row>
    <row r="3" spans="1:102" s="7" customFormat="1" ht="18" customHeight="1" x14ac:dyDescent="0.15">
      <c r="A3" s="5"/>
      <c r="B3" s="15" t="s">
        <v>4</v>
      </c>
      <c r="C3" s="8">
        <v>60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</row>
    <row r="4" spans="1:102" s="7" customFormat="1" ht="18" customHeight="1" x14ac:dyDescent="0.15">
      <c r="A4" s="5"/>
      <c r="B4" s="15" t="s">
        <v>6</v>
      </c>
      <c r="C4" s="19">
        <v>0</v>
      </c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</row>
    <row r="5" spans="1:102" s="7" customFormat="1" ht="18" customHeight="1" x14ac:dyDescent="0.15">
      <c r="A5" s="5"/>
      <c r="B5" s="15" t="s">
        <v>5</v>
      </c>
      <c r="C5" s="9">
        <v>0.08</v>
      </c>
      <c r="D5" s="5"/>
      <c r="E5" s="5"/>
      <c r="F5" s="5"/>
      <c r="G5" s="6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102" s="7" customFormat="1" ht="18" customHeight="1" x14ac:dyDescent="0.15">
      <c r="A6" s="5"/>
      <c r="B6" s="15"/>
      <c r="C6" s="5"/>
      <c r="D6" s="5"/>
      <c r="E6" s="5"/>
      <c r="F6" s="5"/>
    </row>
    <row r="7" spans="1:102" s="7" customFormat="1" ht="18" customHeight="1" x14ac:dyDescent="0.15">
      <c r="A7" s="5"/>
      <c r="B7" s="15" t="s">
        <v>3</v>
      </c>
      <c r="C7" s="1">
        <f>C3/($C$5-$C$4)</f>
        <v>750</v>
      </c>
      <c r="F7" s="5"/>
    </row>
    <row r="8" spans="1:102" s="7" customFormat="1" ht="18" customHeight="1" x14ac:dyDescent="0.15">
      <c r="A8" s="5"/>
      <c r="B8" s="15"/>
      <c r="F8" s="5"/>
    </row>
    <row r="9" spans="1:102" s="5" customFormat="1" ht="18" customHeight="1" x14ac:dyDescent="0.15">
      <c r="B9" s="6" t="s">
        <v>2</v>
      </c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  <c r="CU9" s="7"/>
      <c r="CV9" s="7"/>
      <c r="CW9" s="7"/>
      <c r="CX9" s="7"/>
    </row>
    <row r="10" spans="1:102" s="5" customFormat="1" ht="18" customHeight="1" x14ac:dyDescent="0.15">
      <c r="B10" s="17" t="s">
        <v>0</v>
      </c>
      <c r="C10" s="10">
        <v>1</v>
      </c>
      <c r="D10" s="10">
        <v>2</v>
      </c>
      <c r="E10" s="10">
        <v>3</v>
      </c>
      <c r="F10" s="10">
        <v>4</v>
      </c>
      <c r="G10" s="10">
        <v>5</v>
      </c>
      <c r="H10" s="10">
        <v>6</v>
      </c>
      <c r="I10" s="10">
        <v>7</v>
      </c>
      <c r="J10" s="10">
        <v>8</v>
      </c>
      <c r="K10" s="10">
        <v>9</v>
      </c>
      <c r="L10" s="10">
        <v>10</v>
      </c>
      <c r="M10" s="10">
        <v>11</v>
      </c>
      <c r="N10" s="10">
        <v>12</v>
      </c>
      <c r="O10" s="10">
        <v>13</v>
      </c>
      <c r="P10" s="10">
        <v>14</v>
      </c>
      <c r="Q10" s="10">
        <v>15</v>
      </c>
      <c r="R10" s="11">
        <v>16</v>
      </c>
      <c r="S10" s="11">
        <v>17</v>
      </c>
      <c r="T10" s="11">
        <v>18</v>
      </c>
      <c r="U10" s="11">
        <v>19</v>
      </c>
      <c r="V10" s="11">
        <v>20</v>
      </c>
      <c r="W10" s="7">
        <f>V10+1</f>
        <v>21</v>
      </c>
      <c r="X10" s="7">
        <f t="shared" ref="X10:CI10" si="0">W10+1</f>
        <v>22</v>
      </c>
      <c r="Y10" s="7">
        <f t="shared" si="0"/>
        <v>23</v>
      </c>
      <c r="Z10" s="7">
        <f t="shared" si="0"/>
        <v>24</v>
      </c>
      <c r="AA10" s="7">
        <f t="shared" si="0"/>
        <v>25</v>
      </c>
      <c r="AB10" s="7">
        <f t="shared" si="0"/>
        <v>26</v>
      </c>
      <c r="AC10" s="7">
        <f t="shared" si="0"/>
        <v>27</v>
      </c>
      <c r="AD10" s="7">
        <f t="shared" si="0"/>
        <v>28</v>
      </c>
      <c r="AE10" s="7">
        <f t="shared" si="0"/>
        <v>29</v>
      </c>
      <c r="AF10" s="7">
        <f t="shared" si="0"/>
        <v>30</v>
      </c>
      <c r="AG10" s="7">
        <f t="shared" si="0"/>
        <v>31</v>
      </c>
      <c r="AH10" s="7">
        <f t="shared" si="0"/>
        <v>32</v>
      </c>
      <c r="AI10" s="7">
        <f t="shared" si="0"/>
        <v>33</v>
      </c>
      <c r="AJ10" s="7">
        <f t="shared" si="0"/>
        <v>34</v>
      </c>
      <c r="AK10" s="7">
        <f t="shared" si="0"/>
        <v>35</v>
      </c>
      <c r="AL10" s="7">
        <f t="shared" si="0"/>
        <v>36</v>
      </c>
      <c r="AM10" s="7">
        <f t="shared" si="0"/>
        <v>37</v>
      </c>
      <c r="AN10" s="7">
        <f t="shared" si="0"/>
        <v>38</v>
      </c>
      <c r="AO10" s="7">
        <f t="shared" si="0"/>
        <v>39</v>
      </c>
      <c r="AP10" s="7">
        <f t="shared" si="0"/>
        <v>40</v>
      </c>
      <c r="AQ10" s="7">
        <f t="shared" si="0"/>
        <v>41</v>
      </c>
      <c r="AR10" s="7">
        <f t="shared" si="0"/>
        <v>42</v>
      </c>
      <c r="AS10" s="7">
        <f t="shared" si="0"/>
        <v>43</v>
      </c>
      <c r="AT10" s="7">
        <f t="shared" si="0"/>
        <v>44</v>
      </c>
      <c r="AU10" s="7">
        <f t="shared" si="0"/>
        <v>45</v>
      </c>
      <c r="AV10" s="7">
        <f t="shared" si="0"/>
        <v>46</v>
      </c>
      <c r="AW10" s="7">
        <f t="shared" si="0"/>
        <v>47</v>
      </c>
      <c r="AX10" s="7">
        <f t="shared" si="0"/>
        <v>48</v>
      </c>
      <c r="AY10" s="7">
        <f t="shared" si="0"/>
        <v>49</v>
      </c>
      <c r="AZ10" s="7">
        <f t="shared" si="0"/>
        <v>50</v>
      </c>
      <c r="BA10" s="7">
        <f t="shared" si="0"/>
        <v>51</v>
      </c>
      <c r="BB10" s="7">
        <f t="shared" si="0"/>
        <v>52</v>
      </c>
      <c r="BC10" s="7">
        <f t="shared" si="0"/>
        <v>53</v>
      </c>
      <c r="BD10" s="7">
        <f t="shared" si="0"/>
        <v>54</v>
      </c>
      <c r="BE10" s="7">
        <f t="shared" si="0"/>
        <v>55</v>
      </c>
      <c r="BF10" s="7">
        <f t="shared" si="0"/>
        <v>56</v>
      </c>
      <c r="BG10" s="7">
        <f t="shared" si="0"/>
        <v>57</v>
      </c>
      <c r="BH10" s="7">
        <f t="shared" si="0"/>
        <v>58</v>
      </c>
      <c r="BI10" s="7">
        <f t="shared" si="0"/>
        <v>59</v>
      </c>
      <c r="BJ10" s="7">
        <f t="shared" si="0"/>
        <v>60</v>
      </c>
      <c r="BK10" s="7">
        <f t="shared" si="0"/>
        <v>61</v>
      </c>
      <c r="BL10" s="7">
        <f t="shared" si="0"/>
        <v>62</v>
      </c>
      <c r="BM10" s="7">
        <f t="shared" si="0"/>
        <v>63</v>
      </c>
      <c r="BN10" s="7">
        <f t="shared" si="0"/>
        <v>64</v>
      </c>
      <c r="BO10" s="7">
        <f t="shared" si="0"/>
        <v>65</v>
      </c>
      <c r="BP10" s="7">
        <f t="shared" si="0"/>
        <v>66</v>
      </c>
      <c r="BQ10" s="7">
        <f t="shared" si="0"/>
        <v>67</v>
      </c>
      <c r="BR10" s="7">
        <f t="shared" si="0"/>
        <v>68</v>
      </c>
      <c r="BS10" s="7">
        <f t="shared" si="0"/>
        <v>69</v>
      </c>
      <c r="BT10" s="7">
        <f t="shared" si="0"/>
        <v>70</v>
      </c>
      <c r="BU10" s="7">
        <f t="shared" si="0"/>
        <v>71</v>
      </c>
      <c r="BV10" s="7">
        <f t="shared" si="0"/>
        <v>72</v>
      </c>
      <c r="BW10" s="7">
        <f t="shared" si="0"/>
        <v>73</v>
      </c>
      <c r="BX10" s="7">
        <f t="shared" si="0"/>
        <v>74</v>
      </c>
      <c r="BY10" s="7">
        <f t="shared" si="0"/>
        <v>75</v>
      </c>
      <c r="BZ10" s="7">
        <f t="shared" si="0"/>
        <v>76</v>
      </c>
      <c r="CA10" s="7">
        <f t="shared" si="0"/>
        <v>77</v>
      </c>
      <c r="CB10" s="7">
        <f t="shared" si="0"/>
        <v>78</v>
      </c>
      <c r="CC10" s="7">
        <f t="shared" si="0"/>
        <v>79</v>
      </c>
      <c r="CD10" s="7">
        <f t="shared" si="0"/>
        <v>80</v>
      </c>
      <c r="CE10" s="7">
        <f t="shared" si="0"/>
        <v>81</v>
      </c>
      <c r="CF10" s="7">
        <f t="shared" si="0"/>
        <v>82</v>
      </c>
      <c r="CG10" s="7">
        <f t="shared" si="0"/>
        <v>83</v>
      </c>
      <c r="CH10" s="7">
        <f t="shared" si="0"/>
        <v>84</v>
      </c>
      <c r="CI10" s="7">
        <f t="shared" si="0"/>
        <v>85</v>
      </c>
      <c r="CJ10" s="7">
        <f t="shared" ref="CJ10:CX10" si="1">CI10+1</f>
        <v>86</v>
      </c>
      <c r="CK10" s="7">
        <f t="shared" si="1"/>
        <v>87</v>
      </c>
      <c r="CL10" s="7">
        <f t="shared" si="1"/>
        <v>88</v>
      </c>
      <c r="CM10" s="7">
        <f t="shared" si="1"/>
        <v>89</v>
      </c>
      <c r="CN10" s="7">
        <f t="shared" si="1"/>
        <v>90</v>
      </c>
      <c r="CO10" s="7">
        <f t="shared" si="1"/>
        <v>91</v>
      </c>
      <c r="CP10" s="7">
        <f t="shared" si="1"/>
        <v>92</v>
      </c>
      <c r="CQ10" s="7">
        <f t="shared" si="1"/>
        <v>93</v>
      </c>
      <c r="CR10" s="7">
        <f t="shared" si="1"/>
        <v>94</v>
      </c>
      <c r="CS10" s="7">
        <f t="shared" si="1"/>
        <v>95</v>
      </c>
      <c r="CT10" s="7">
        <f t="shared" si="1"/>
        <v>96</v>
      </c>
      <c r="CU10" s="7">
        <f t="shared" si="1"/>
        <v>97</v>
      </c>
      <c r="CV10" s="7">
        <f t="shared" si="1"/>
        <v>98</v>
      </c>
      <c r="CW10" s="7">
        <f t="shared" si="1"/>
        <v>99</v>
      </c>
      <c r="CX10" s="7">
        <f t="shared" si="1"/>
        <v>100</v>
      </c>
    </row>
    <row r="11" spans="1:102" s="5" customFormat="1" ht="18" customHeight="1" x14ac:dyDescent="0.15">
      <c r="B11" s="4" t="s">
        <v>9</v>
      </c>
      <c r="C11" s="16">
        <f>$C$3</f>
        <v>60</v>
      </c>
      <c r="D11" s="12">
        <f>C11*(1+$C$4)</f>
        <v>60</v>
      </c>
      <c r="E11" s="12">
        <f t="shared" ref="E11:BP11" si="2">D11*(1+$C$4)</f>
        <v>60</v>
      </c>
      <c r="F11" s="12">
        <f t="shared" si="2"/>
        <v>60</v>
      </c>
      <c r="G11" s="12">
        <f t="shared" si="2"/>
        <v>60</v>
      </c>
      <c r="H11" s="12">
        <f t="shared" si="2"/>
        <v>60</v>
      </c>
      <c r="I11" s="12">
        <f t="shared" si="2"/>
        <v>60</v>
      </c>
      <c r="J11" s="12">
        <f t="shared" si="2"/>
        <v>60</v>
      </c>
      <c r="K11" s="12">
        <f t="shared" si="2"/>
        <v>60</v>
      </c>
      <c r="L11" s="12">
        <f t="shared" si="2"/>
        <v>60</v>
      </c>
      <c r="M11" s="12">
        <f t="shared" si="2"/>
        <v>60</v>
      </c>
      <c r="N11" s="12">
        <f t="shared" si="2"/>
        <v>60</v>
      </c>
      <c r="O11" s="12">
        <f t="shared" si="2"/>
        <v>60</v>
      </c>
      <c r="P11" s="12">
        <f t="shared" si="2"/>
        <v>60</v>
      </c>
      <c r="Q11" s="12">
        <f t="shared" si="2"/>
        <v>60</v>
      </c>
      <c r="R11" s="12">
        <f t="shared" si="2"/>
        <v>60</v>
      </c>
      <c r="S11" s="12">
        <f t="shared" si="2"/>
        <v>60</v>
      </c>
      <c r="T11" s="12">
        <f t="shared" si="2"/>
        <v>60</v>
      </c>
      <c r="U11" s="12">
        <f t="shared" si="2"/>
        <v>60</v>
      </c>
      <c r="V11" s="12">
        <f t="shared" si="2"/>
        <v>60</v>
      </c>
      <c r="W11" s="12">
        <f t="shared" si="2"/>
        <v>60</v>
      </c>
      <c r="X11" s="12">
        <f t="shared" si="2"/>
        <v>60</v>
      </c>
      <c r="Y11" s="12">
        <f t="shared" si="2"/>
        <v>60</v>
      </c>
      <c r="Z11" s="12">
        <f t="shared" si="2"/>
        <v>60</v>
      </c>
      <c r="AA11" s="12">
        <f t="shared" si="2"/>
        <v>60</v>
      </c>
      <c r="AB11" s="12">
        <f t="shared" si="2"/>
        <v>60</v>
      </c>
      <c r="AC11" s="12">
        <f t="shared" si="2"/>
        <v>60</v>
      </c>
      <c r="AD11" s="12">
        <f t="shared" si="2"/>
        <v>60</v>
      </c>
      <c r="AE11" s="12">
        <f t="shared" si="2"/>
        <v>60</v>
      </c>
      <c r="AF11" s="12">
        <f t="shared" si="2"/>
        <v>60</v>
      </c>
      <c r="AG11" s="12">
        <f t="shared" si="2"/>
        <v>60</v>
      </c>
      <c r="AH11" s="12">
        <f t="shared" si="2"/>
        <v>60</v>
      </c>
      <c r="AI11" s="12">
        <f t="shared" si="2"/>
        <v>60</v>
      </c>
      <c r="AJ11" s="12">
        <f t="shared" si="2"/>
        <v>60</v>
      </c>
      <c r="AK11" s="12">
        <f t="shared" si="2"/>
        <v>60</v>
      </c>
      <c r="AL11" s="12">
        <f t="shared" si="2"/>
        <v>60</v>
      </c>
      <c r="AM11" s="12">
        <f t="shared" si="2"/>
        <v>60</v>
      </c>
      <c r="AN11" s="12">
        <f t="shared" si="2"/>
        <v>60</v>
      </c>
      <c r="AO11" s="12">
        <f t="shared" si="2"/>
        <v>60</v>
      </c>
      <c r="AP11" s="12">
        <f t="shared" si="2"/>
        <v>60</v>
      </c>
      <c r="AQ11" s="12">
        <f t="shared" si="2"/>
        <v>60</v>
      </c>
      <c r="AR11" s="12">
        <f t="shared" si="2"/>
        <v>60</v>
      </c>
      <c r="AS11" s="12">
        <f t="shared" si="2"/>
        <v>60</v>
      </c>
      <c r="AT11" s="12">
        <f t="shared" si="2"/>
        <v>60</v>
      </c>
      <c r="AU11" s="12">
        <f t="shared" si="2"/>
        <v>60</v>
      </c>
      <c r="AV11" s="12">
        <f t="shared" si="2"/>
        <v>60</v>
      </c>
      <c r="AW11" s="12">
        <f t="shared" si="2"/>
        <v>60</v>
      </c>
      <c r="AX11" s="12">
        <f t="shared" si="2"/>
        <v>60</v>
      </c>
      <c r="AY11" s="12">
        <f t="shared" si="2"/>
        <v>60</v>
      </c>
      <c r="AZ11" s="12">
        <f t="shared" si="2"/>
        <v>60</v>
      </c>
      <c r="BA11" s="12">
        <f t="shared" si="2"/>
        <v>60</v>
      </c>
      <c r="BB11" s="12">
        <f t="shared" si="2"/>
        <v>60</v>
      </c>
      <c r="BC11" s="12">
        <f t="shared" si="2"/>
        <v>60</v>
      </c>
      <c r="BD11" s="12">
        <f t="shared" si="2"/>
        <v>60</v>
      </c>
      <c r="BE11" s="12">
        <f t="shared" si="2"/>
        <v>60</v>
      </c>
      <c r="BF11" s="12">
        <f t="shared" si="2"/>
        <v>60</v>
      </c>
      <c r="BG11" s="12">
        <f t="shared" si="2"/>
        <v>60</v>
      </c>
      <c r="BH11" s="12">
        <f t="shared" si="2"/>
        <v>60</v>
      </c>
      <c r="BI11" s="12">
        <f t="shared" si="2"/>
        <v>60</v>
      </c>
      <c r="BJ11" s="12">
        <f t="shared" si="2"/>
        <v>60</v>
      </c>
      <c r="BK11" s="12">
        <f t="shared" si="2"/>
        <v>60</v>
      </c>
      <c r="BL11" s="12">
        <f t="shared" si="2"/>
        <v>60</v>
      </c>
      <c r="BM11" s="12">
        <f t="shared" si="2"/>
        <v>60</v>
      </c>
      <c r="BN11" s="12">
        <f t="shared" si="2"/>
        <v>60</v>
      </c>
      <c r="BO11" s="12">
        <f t="shared" si="2"/>
        <v>60</v>
      </c>
      <c r="BP11" s="12">
        <f t="shared" si="2"/>
        <v>60</v>
      </c>
      <c r="BQ11" s="12">
        <f t="shared" ref="BQ11:CX11" si="3">BP11*(1+$C$4)</f>
        <v>60</v>
      </c>
      <c r="BR11" s="12">
        <f t="shared" si="3"/>
        <v>60</v>
      </c>
      <c r="BS11" s="12">
        <f t="shared" si="3"/>
        <v>60</v>
      </c>
      <c r="BT11" s="12">
        <f t="shared" si="3"/>
        <v>60</v>
      </c>
      <c r="BU11" s="12">
        <f t="shared" si="3"/>
        <v>60</v>
      </c>
      <c r="BV11" s="12">
        <f t="shared" si="3"/>
        <v>60</v>
      </c>
      <c r="BW11" s="12">
        <f t="shared" si="3"/>
        <v>60</v>
      </c>
      <c r="BX11" s="12">
        <f t="shared" si="3"/>
        <v>60</v>
      </c>
      <c r="BY11" s="12">
        <f t="shared" si="3"/>
        <v>60</v>
      </c>
      <c r="BZ11" s="12">
        <f t="shared" si="3"/>
        <v>60</v>
      </c>
      <c r="CA11" s="12">
        <f t="shared" si="3"/>
        <v>60</v>
      </c>
      <c r="CB11" s="12">
        <f t="shared" si="3"/>
        <v>60</v>
      </c>
      <c r="CC11" s="12">
        <f t="shared" si="3"/>
        <v>60</v>
      </c>
      <c r="CD11" s="12">
        <f t="shared" si="3"/>
        <v>60</v>
      </c>
      <c r="CE11" s="12">
        <f t="shared" si="3"/>
        <v>60</v>
      </c>
      <c r="CF11" s="12">
        <f t="shared" si="3"/>
        <v>60</v>
      </c>
      <c r="CG11" s="12">
        <f t="shared" si="3"/>
        <v>60</v>
      </c>
      <c r="CH11" s="12">
        <f t="shared" si="3"/>
        <v>60</v>
      </c>
      <c r="CI11" s="12">
        <f t="shared" si="3"/>
        <v>60</v>
      </c>
      <c r="CJ11" s="12">
        <f t="shared" si="3"/>
        <v>60</v>
      </c>
      <c r="CK11" s="12">
        <f t="shared" si="3"/>
        <v>60</v>
      </c>
      <c r="CL11" s="12">
        <f t="shared" si="3"/>
        <v>60</v>
      </c>
      <c r="CM11" s="12">
        <f t="shared" si="3"/>
        <v>60</v>
      </c>
      <c r="CN11" s="12">
        <f t="shared" si="3"/>
        <v>60</v>
      </c>
      <c r="CO11" s="12">
        <f t="shared" si="3"/>
        <v>60</v>
      </c>
      <c r="CP11" s="12">
        <f t="shared" si="3"/>
        <v>60</v>
      </c>
      <c r="CQ11" s="12">
        <f t="shared" si="3"/>
        <v>60</v>
      </c>
      <c r="CR11" s="12">
        <f t="shared" si="3"/>
        <v>60</v>
      </c>
      <c r="CS11" s="12">
        <f t="shared" si="3"/>
        <v>60</v>
      </c>
      <c r="CT11" s="12">
        <f t="shared" si="3"/>
        <v>60</v>
      </c>
      <c r="CU11" s="12">
        <f t="shared" si="3"/>
        <v>60</v>
      </c>
      <c r="CV11" s="12">
        <f t="shared" si="3"/>
        <v>60</v>
      </c>
      <c r="CW11" s="12">
        <f t="shared" si="3"/>
        <v>60</v>
      </c>
      <c r="CX11" s="12">
        <f t="shared" si="3"/>
        <v>60</v>
      </c>
    </row>
    <row r="12" spans="1:102" s="5" customFormat="1" ht="18" customHeight="1" x14ac:dyDescent="0.15">
      <c r="B12" s="4" t="s">
        <v>8</v>
      </c>
      <c r="C12" s="13">
        <f>C11/(1+$C$5)^C10</f>
        <v>55.55555555555555</v>
      </c>
      <c r="D12" s="13">
        <f t="shared" ref="D12:BO12" si="4">D11/(1+$C$5)^D10</f>
        <v>51.440329218106989</v>
      </c>
      <c r="E12" s="13">
        <f t="shared" si="4"/>
        <v>47.629934461210176</v>
      </c>
      <c r="F12" s="13">
        <f t="shared" si="4"/>
        <v>44.101791167787198</v>
      </c>
      <c r="G12" s="13">
        <f t="shared" si="4"/>
        <v>40.834991822025181</v>
      </c>
      <c r="H12" s="13">
        <f t="shared" si="4"/>
        <v>37.810177612986273</v>
      </c>
      <c r="I12" s="13">
        <f t="shared" si="4"/>
        <v>35.009423715728033</v>
      </c>
      <c r="J12" s="13">
        <f t="shared" si="4"/>
        <v>32.416133070118548</v>
      </c>
      <c r="K12" s="13">
        <f t="shared" si="4"/>
        <v>30.014938027887542</v>
      </c>
      <c r="L12" s="13">
        <f t="shared" si="4"/>
        <v>27.791609285081055</v>
      </c>
      <c r="M12" s="13">
        <f t="shared" si="4"/>
        <v>25.732971560260236</v>
      </c>
      <c r="N12" s="13">
        <f t="shared" si="4"/>
        <v>23.826825518759478</v>
      </c>
      <c r="O12" s="13">
        <f t="shared" si="4"/>
        <v>22.061875480332848</v>
      </c>
      <c r="P12" s="13">
        <f t="shared" si="4"/>
        <v>20.427662481789671</v>
      </c>
      <c r="Q12" s="13">
        <f t="shared" si="4"/>
        <v>18.914502297953398</v>
      </c>
      <c r="R12" s="13">
        <f t="shared" si="4"/>
        <v>17.513428053660554</v>
      </c>
      <c r="S12" s="13">
        <f t="shared" si="4"/>
        <v>16.216137086722735</v>
      </c>
      <c r="T12" s="13">
        <f t="shared" si="4"/>
        <v>15.014941746965494</v>
      </c>
      <c r="U12" s="13">
        <f t="shared" si="4"/>
        <v>13.902723839782864</v>
      </c>
      <c r="V12" s="13">
        <f t="shared" si="4"/>
        <v>12.872892444243393</v>
      </c>
      <c r="W12" s="13">
        <f t="shared" si="4"/>
        <v>11.919344855780919</v>
      </c>
      <c r="X12" s="13">
        <f t="shared" si="4"/>
        <v>11.036430422019368</v>
      </c>
      <c r="Y12" s="13">
        <f t="shared" si="4"/>
        <v>10.21891705742534</v>
      </c>
      <c r="Z12" s="13">
        <f t="shared" si="4"/>
        <v>9.4619602383567969</v>
      </c>
      <c r="AA12" s="13">
        <f t="shared" si="4"/>
        <v>8.7610742947748097</v>
      </c>
      <c r="AB12" s="13">
        <f t="shared" si="4"/>
        <v>8.1121058284951957</v>
      </c>
      <c r="AC12" s="13">
        <f t="shared" si="4"/>
        <v>7.5112091004585135</v>
      </c>
      <c r="AD12" s="13">
        <f t="shared" si="4"/>
        <v>6.9548232411652906</v>
      </c>
      <c r="AE12" s="13">
        <f t="shared" si="4"/>
        <v>6.43965114922712</v>
      </c>
      <c r="AF12" s="13">
        <f t="shared" si="4"/>
        <v>5.9626399529880736</v>
      </c>
      <c r="AG12" s="13">
        <f t="shared" si="4"/>
        <v>5.5209629194334005</v>
      </c>
      <c r="AH12" s="13">
        <f t="shared" si="4"/>
        <v>5.1120027031790745</v>
      </c>
      <c r="AI12" s="13">
        <f t="shared" si="4"/>
        <v>4.7333358362769209</v>
      </c>
      <c r="AJ12" s="13">
        <f t="shared" si="4"/>
        <v>4.3827183669230747</v>
      </c>
      <c r="AK12" s="13">
        <f t="shared" si="4"/>
        <v>4.05807256196581</v>
      </c>
      <c r="AL12" s="13">
        <f t="shared" si="4"/>
        <v>3.7574745944127863</v>
      </c>
      <c r="AM12" s="13">
        <f t="shared" si="4"/>
        <v>3.4791431429748019</v>
      </c>
      <c r="AN12" s="13">
        <f t="shared" si="4"/>
        <v>3.2214288360877794</v>
      </c>
      <c r="AO12" s="13">
        <f t="shared" si="4"/>
        <v>2.9828044778590548</v>
      </c>
      <c r="AP12" s="13">
        <f t="shared" si="4"/>
        <v>2.7618559980176434</v>
      </c>
      <c r="AQ12" s="13">
        <f t="shared" si="4"/>
        <v>2.5572740722385583</v>
      </c>
      <c r="AR12" s="13">
        <f t="shared" si="4"/>
        <v>2.3678463631838507</v>
      </c>
      <c r="AS12" s="13">
        <f t="shared" si="4"/>
        <v>2.1924503362813432</v>
      </c>
      <c r="AT12" s="13">
        <f t="shared" si="4"/>
        <v>2.0300466076679098</v>
      </c>
      <c r="AU12" s="13">
        <f t="shared" si="4"/>
        <v>1.8796727848776946</v>
      </c>
      <c r="AV12" s="13">
        <f t="shared" si="4"/>
        <v>1.7404377637756427</v>
      </c>
      <c r="AW12" s="13">
        <f t="shared" si="4"/>
        <v>1.6115164479404098</v>
      </c>
      <c r="AX12" s="13">
        <f t="shared" si="4"/>
        <v>1.4921448592040834</v>
      </c>
      <c r="AY12" s="13">
        <f t="shared" si="4"/>
        <v>1.381615610374151</v>
      </c>
      <c r="AZ12" s="13">
        <f t="shared" si="4"/>
        <v>1.279273713309399</v>
      </c>
      <c r="BA12" s="13">
        <f t="shared" si="4"/>
        <v>1.1845126975087026</v>
      </c>
      <c r="BB12" s="13">
        <f t="shared" si="4"/>
        <v>1.0967710162117619</v>
      </c>
      <c r="BC12" s="13">
        <f t="shared" si="4"/>
        <v>1.0155287187145943</v>
      </c>
      <c r="BD12" s="13">
        <f t="shared" si="4"/>
        <v>0.94030436918017968</v>
      </c>
      <c r="BE12" s="13">
        <f t="shared" si="4"/>
        <v>0.87065219368535152</v>
      </c>
      <c r="BF12" s="13">
        <f t="shared" si="4"/>
        <v>0.80615943859754779</v>
      </c>
      <c r="BG12" s="13">
        <f t="shared" si="4"/>
        <v>0.74644392462735898</v>
      </c>
      <c r="BH12" s="13">
        <f t="shared" si="4"/>
        <v>0.69115178206236938</v>
      </c>
      <c r="BI12" s="13">
        <f t="shared" si="4"/>
        <v>0.63995535376145318</v>
      </c>
      <c r="BJ12" s="13">
        <f t="shared" si="4"/>
        <v>0.592551253482827</v>
      </c>
      <c r="BK12" s="13">
        <f t="shared" si="4"/>
        <v>0.54865856803965463</v>
      </c>
      <c r="BL12" s="13">
        <f t="shared" si="4"/>
        <v>0.50801719262930978</v>
      </c>
      <c r="BM12" s="13">
        <f t="shared" si="4"/>
        <v>0.47038628947158301</v>
      </c>
      <c r="BN12" s="13">
        <f t="shared" si="4"/>
        <v>0.43554286062183611</v>
      </c>
      <c r="BO12" s="13">
        <f t="shared" si="4"/>
        <v>0.40328042650170004</v>
      </c>
      <c r="BP12" s="13">
        <f t="shared" ref="BP12:CX12" si="5">BP11/(1+$C$5)^BP10</f>
        <v>0.37340780231638893</v>
      </c>
      <c r="BQ12" s="13">
        <f t="shared" si="5"/>
        <v>0.34574796510776751</v>
      </c>
      <c r="BR12" s="13">
        <f t="shared" si="5"/>
        <v>0.32013700472941437</v>
      </c>
      <c r="BS12" s="13">
        <f t="shared" si="5"/>
        <v>0.2964231525272355</v>
      </c>
      <c r="BT12" s="13">
        <f t="shared" si="5"/>
        <v>0.27446588196966248</v>
      </c>
      <c r="BU12" s="13">
        <f t="shared" si="5"/>
        <v>0.25413507589783563</v>
      </c>
      <c r="BV12" s="13">
        <f t="shared" si="5"/>
        <v>0.23531025546095891</v>
      </c>
      <c r="BW12" s="13">
        <f t="shared" si="5"/>
        <v>0.2178798661675545</v>
      </c>
      <c r="BX12" s="13">
        <f t="shared" si="5"/>
        <v>0.20174061682180972</v>
      </c>
      <c r="BY12" s="13">
        <f t="shared" si="5"/>
        <v>0.1867968674276016</v>
      </c>
      <c r="BZ12" s="13">
        <f t="shared" si="5"/>
        <v>0.17296006243296444</v>
      </c>
      <c r="CA12" s="13">
        <f t="shared" si="5"/>
        <v>0.16014820595644857</v>
      </c>
      <c r="CB12" s="13">
        <f t="shared" si="5"/>
        <v>0.14828537588560048</v>
      </c>
      <c r="CC12" s="13">
        <f t="shared" si="5"/>
        <v>0.13730127396814859</v>
      </c>
      <c r="CD12" s="13">
        <f t="shared" si="5"/>
        <v>0.12713080922976722</v>
      </c>
      <c r="CE12" s="13">
        <f t="shared" si="5"/>
        <v>0.11771371224978446</v>
      </c>
      <c r="CF12" s="13">
        <f t="shared" si="5"/>
        <v>0.10899417800905967</v>
      </c>
      <c r="CG12" s="13">
        <f t="shared" si="5"/>
        <v>0.10092053519357376</v>
      </c>
      <c r="CH12" s="13">
        <f t="shared" si="5"/>
        <v>9.3444939994049778E-2</v>
      </c>
      <c r="CI12" s="13">
        <f t="shared" si="5"/>
        <v>8.6523092587083128E-2</v>
      </c>
      <c r="CJ12" s="13">
        <f t="shared" si="5"/>
        <v>8.0113974617669559E-2</v>
      </c>
      <c r="CK12" s="13">
        <f t="shared" si="5"/>
        <v>7.4179606127471806E-2</v>
      </c>
      <c r="CL12" s="13">
        <f t="shared" si="5"/>
        <v>6.8684820488399814E-2</v>
      </c>
      <c r="CM12" s="13">
        <f t="shared" si="5"/>
        <v>6.3597056007777597E-2</v>
      </c>
      <c r="CN12" s="13">
        <f t="shared" si="5"/>
        <v>5.8886162970164448E-2</v>
      </c>
      <c r="CO12" s="13">
        <f t="shared" si="5"/>
        <v>5.452422497237449E-2</v>
      </c>
      <c r="CP12" s="13">
        <f t="shared" si="5"/>
        <v>5.0485393492939339E-2</v>
      </c>
      <c r="CQ12" s="13">
        <f t="shared" si="5"/>
        <v>4.6745734715684571E-2</v>
      </c>
      <c r="CR12" s="13">
        <f t="shared" si="5"/>
        <v>4.3283087699707928E-2</v>
      </c>
      <c r="CS12" s="13">
        <f t="shared" si="5"/>
        <v>4.0076933055285119E-2</v>
      </c>
      <c r="CT12" s="13">
        <f t="shared" si="5"/>
        <v>3.7108271347486219E-2</v>
      </c>
      <c r="CU12" s="13">
        <f t="shared" si="5"/>
        <v>3.4359510506931687E-2</v>
      </c>
      <c r="CV12" s="13">
        <f t="shared" si="5"/>
        <v>3.1814361580492299E-2</v>
      </c>
      <c r="CW12" s="13">
        <f t="shared" si="5"/>
        <v>2.9457742204159532E-2</v>
      </c>
      <c r="CX12" s="18">
        <f t="shared" si="5"/>
        <v>2.7275687226073635E-2</v>
      </c>
    </row>
    <row r="13" spans="1:102" s="5" customFormat="1" ht="18" customHeight="1" x14ac:dyDescent="0.15">
      <c r="B13" s="4" t="s">
        <v>10</v>
      </c>
      <c r="C13" s="14">
        <f>SUM(C12:L12)</f>
        <v>402.60488393648649</v>
      </c>
    </row>
    <row r="14" spans="1:102" s="5" customFormat="1" ht="18" customHeight="1" x14ac:dyDescent="0.15">
      <c r="B14" s="4" t="s">
        <v>11</v>
      </c>
      <c r="C14" s="14">
        <f>SUM(C12:AF12)</f>
        <v>675.46700058764839</v>
      </c>
    </row>
    <row r="15" spans="1:102" s="5" customFormat="1" ht="18" customHeight="1" x14ac:dyDescent="0.15">
      <c r="B15" s="4" t="s">
        <v>12</v>
      </c>
      <c r="C15" s="14">
        <f>SUM(C12:AZ12)</f>
        <v>734.00907858363166</v>
      </c>
    </row>
    <row r="16" spans="1:102" s="5" customFormat="1" ht="18" customHeight="1" x14ac:dyDescent="0.15">
      <c r="B16" s="4" t="s">
        <v>13</v>
      </c>
      <c r="C16" s="14">
        <f>SUM(C12:CD12)</f>
        <v>748.4108648846269</v>
      </c>
    </row>
    <row r="17" spans="2:3" s="5" customFormat="1" ht="18" customHeight="1" x14ac:dyDescent="0.15">
      <c r="B17" s="4" t="s">
        <v>14</v>
      </c>
      <c r="C17" s="14">
        <f>SUM(C12:CX12)</f>
        <v>749.65905390967328</v>
      </c>
    </row>
    <row r="18" spans="2:3" s="5" customFormat="1" ht="18" customHeight="1" x14ac:dyDescent="0.15">
      <c r="B18" s="4"/>
    </row>
    <row r="19" spans="2:3" s="5" customFormat="1" ht="18" customHeight="1" x14ac:dyDescent="0.15">
      <c r="B19" s="4"/>
    </row>
    <row r="20" spans="2:3" s="5" customFormat="1" ht="18" customHeight="1" x14ac:dyDescent="0.15">
      <c r="B20" s="4"/>
    </row>
    <row r="21" spans="2:3" s="5" customFormat="1" ht="18" customHeight="1" x14ac:dyDescent="0.15">
      <c r="B21" s="4"/>
    </row>
    <row r="22" spans="2:3" s="5" customFormat="1" ht="18" customHeight="1" x14ac:dyDescent="0.15">
      <c r="B22" s="4"/>
    </row>
    <row r="23" spans="2:3" s="5" customFormat="1" ht="18" customHeight="1" x14ac:dyDescent="0.15">
      <c r="B23" s="4"/>
    </row>
    <row r="24" spans="2:3" s="5" customFormat="1" ht="18" customHeight="1" x14ac:dyDescent="0.15">
      <c r="B24" s="4"/>
    </row>
    <row r="25" spans="2:3" s="5" customFormat="1" ht="18" customHeight="1" x14ac:dyDescent="0.15">
      <c r="B25" s="4"/>
    </row>
    <row r="26" spans="2:3" s="5" customFormat="1" ht="18" customHeight="1" x14ac:dyDescent="0.15">
      <c r="B26" s="4"/>
    </row>
    <row r="27" spans="2:3" s="5" customFormat="1" ht="18" customHeight="1" x14ac:dyDescent="0.15">
      <c r="B27" s="4"/>
    </row>
    <row r="28" spans="2:3" s="5" customFormat="1" ht="18" customHeight="1" x14ac:dyDescent="0.15">
      <c r="B28" s="4"/>
    </row>
    <row r="29" spans="2:3" s="5" customFormat="1" ht="18" customHeight="1" x14ac:dyDescent="0.15">
      <c r="B29" s="4"/>
    </row>
    <row r="30" spans="2:3" s="5" customFormat="1" ht="18" customHeight="1" x14ac:dyDescent="0.15">
      <c r="B30" s="4"/>
    </row>
    <row r="31" spans="2:3" s="5" customFormat="1" ht="18" customHeight="1" x14ac:dyDescent="0.15">
      <c r="B31" s="4"/>
    </row>
    <row r="32" spans="2:3" s="5" customFormat="1" ht="18" customHeight="1" x14ac:dyDescent="0.15">
      <c r="B32" s="4"/>
    </row>
    <row r="33" spans="2:2" s="5" customFormat="1" ht="18" customHeight="1" x14ac:dyDescent="0.15">
      <c r="B33" s="4"/>
    </row>
    <row r="34" spans="2:2" s="5" customFormat="1" ht="18" customHeight="1" x14ac:dyDescent="0.15">
      <c r="B34" s="4"/>
    </row>
    <row r="35" spans="2:2" s="5" customFormat="1" ht="18" customHeight="1" x14ac:dyDescent="0.15">
      <c r="B35" s="4"/>
    </row>
    <row r="36" spans="2:2" s="5" customFormat="1" ht="18" customHeight="1" x14ac:dyDescent="0.15">
      <c r="B36" s="4"/>
    </row>
    <row r="37" spans="2:2" s="5" customFormat="1" ht="18" customHeight="1" x14ac:dyDescent="0.15">
      <c r="B37" s="4"/>
    </row>
    <row r="38" spans="2:2" s="5" customFormat="1" ht="18" customHeight="1" x14ac:dyDescent="0.15">
      <c r="B38" s="4"/>
    </row>
    <row r="39" spans="2:2" s="5" customFormat="1" ht="18" customHeight="1" x14ac:dyDescent="0.15">
      <c r="B39" s="4"/>
    </row>
    <row r="40" spans="2:2" s="5" customFormat="1" ht="18" customHeight="1" x14ac:dyDescent="0.15">
      <c r="B40" s="4"/>
    </row>
    <row r="41" spans="2:2" s="5" customFormat="1" ht="18" customHeight="1" x14ac:dyDescent="0.15">
      <c r="B41" s="4"/>
    </row>
    <row r="42" spans="2:2" s="5" customFormat="1" ht="18" customHeight="1" x14ac:dyDescent="0.15">
      <c r="B42" s="4"/>
    </row>
    <row r="43" spans="2:2" s="5" customFormat="1" ht="18" customHeight="1" x14ac:dyDescent="0.15">
      <c r="B43" s="4"/>
    </row>
    <row r="44" spans="2:2" s="5" customFormat="1" ht="18" customHeight="1" x14ac:dyDescent="0.15">
      <c r="B44" s="4"/>
    </row>
    <row r="45" spans="2:2" s="5" customFormat="1" ht="18" customHeight="1" x14ac:dyDescent="0.15">
      <c r="B45" s="4"/>
    </row>
    <row r="46" spans="2:2" s="5" customFormat="1" ht="18" customHeight="1" x14ac:dyDescent="0.15">
      <c r="B46" s="4"/>
    </row>
    <row r="47" spans="2:2" s="5" customFormat="1" ht="18" customHeight="1" x14ac:dyDescent="0.15">
      <c r="B47" s="4"/>
    </row>
    <row r="48" spans="2:2" s="5" customFormat="1" ht="18" customHeight="1" x14ac:dyDescent="0.15">
      <c r="B48" s="4"/>
    </row>
    <row r="49" spans="2:2" s="5" customFormat="1" ht="18" customHeight="1" x14ac:dyDescent="0.15">
      <c r="B49" s="4"/>
    </row>
    <row r="50" spans="2:2" s="5" customFormat="1" ht="18" customHeight="1" x14ac:dyDescent="0.15">
      <c r="B50" s="4"/>
    </row>
    <row r="51" spans="2:2" s="5" customFormat="1" ht="18" customHeight="1" x14ac:dyDescent="0.15">
      <c r="B51" s="4"/>
    </row>
    <row r="52" spans="2:2" s="5" customFormat="1" ht="18" customHeight="1" x14ac:dyDescent="0.15">
      <c r="B52" s="4"/>
    </row>
    <row r="53" spans="2:2" s="5" customFormat="1" ht="18" customHeight="1" x14ac:dyDescent="0.15">
      <c r="B53" s="4"/>
    </row>
    <row r="54" spans="2:2" s="5" customFormat="1" ht="18" customHeight="1" x14ac:dyDescent="0.15">
      <c r="B54" s="4"/>
    </row>
    <row r="55" spans="2:2" s="5" customFormat="1" ht="18" customHeight="1" x14ac:dyDescent="0.15">
      <c r="B55" s="4"/>
    </row>
    <row r="56" spans="2:2" s="5" customFormat="1" ht="18" customHeight="1" x14ac:dyDescent="0.15">
      <c r="B56" s="4"/>
    </row>
    <row r="57" spans="2:2" s="5" customFormat="1" ht="18" customHeight="1" x14ac:dyDescent="0.15">
      <c r="B57" s="4"/>
    </row>
    <row r="58" spans="2:2" s="5" customFormat="1" ht="18" customHeight="1" x14ac:dyDescent="0.15">
      <c r="B58" s="4"/>
    </row>
    <row r="59" spans="2:2" s="5" customFormat="1" ht="18" customHeight="1" x14ac:dyDescent="0.15">
      <c r="B59" s="4"/>
    </row>
    <row r="60" spans="2:2" s="5" customFormat="1" ht="18" customHeight="1" x14ac:dyDescent="0.15">
      <c r="B60" s="4"/>
    </row>
    <row r="61" spans="2:2" s="5" customFormat="1" ht="18" customHeight="1" x14ac:dyDescent="0.15">
      <c r="B61" s="4"/>
    </row>
    <row r="62" spans="2:2" s="5" customFormat="1" ht="18" customHeight="1" x14ac:dyDescent="0.15">
      <c r="B62" s="4"/>
    </row>
    <row r="63" spans="2:2" s="5" customFormat="1" ht="18" customHeight="1" x14ac:dyDescent="0.15">
      <c r="B63" s="4"/>
    </row>
    <row r="64" spans="2:2" s="5" customFormat="1" ht="18" customHeight="1" x14ac:dyDescent="0.15">
      <c r="B64" s="4"/>
    </row>
    <row r="65" spans="2:2" s="5" customFormat="1" ht="18" customHeight="1" x14ac:dyDescent="0.15">
      <c r="B65" s="4"/>
    </row>
    <row r="66" spans="2:2" s="5" customFormat="1" ht="18" customHeight="1" x14ac:dyDescent="0.15">
      <c r="B66" s="4"/>
    </row>
    <row r="67" spans="2:2" s="5" customFormat="1" ht="18" customHeight="1" x14ac:dyDescent="0.15">
      <c r="B67" s="4"/>
    </row>
    <row r="68" spans="2:2" s="5" customFormat="1" ht="18" customHeight="1" x14ac:dyDescent="0.15">
      <c r="B68" s="4"/>
    </row>
    <row r="69" spans="2:2" s="5" customFormat="1" ht="18" customHeight="1" x14ac:dyDescent="0.15">
      <c r="B69" s="4"/>
    </row>
    <row r="70" spans="2:2" s="5" customFormat="1" ht="18" customHeight="1" x14ac:dyDescent="0.15">
      <c r="B70" s="4"/>
    </row>
    <row r="71" spans="2:2" s="5" customFormat="1" ht="18" customHeight="1" x14ac:dyDescent="0.15">
      <c r="B71" s="4"/>
    </row>
    <row r="72" spans="2:2" s="5" customFormat="1" ht="18" customHeight="1" x14ac:dyDescent="0.15">
      <c r="B72" s="4"/>
    </row>
    <row r="73" spans="2:2" s="5" customFormat="1" ht="18" customHeight="1" x14ac:dyDescent="0.15">
      <c r="B73" s="4"/>
    </row>
    <row r="74" spans="2:2" s="5" customFormat="1" ht="18" customHeight="1" x14ac:dyDescent="0.15">
      <c r="B74" s="4"/>
    </row>
    <row r="75" spans="2:2" s="5" customFormat="1" ht="18" customHeight="1" x14ac:dyDescent="0.15">
      <c r="B75" s="4"/>
    </row>
    <row r="76" spans="2:2" s="5" customFormat="1" ht="18" customHeight="1" x14ac:dyDescent="0.15">
      <c r="B76" s="4"/>
    </row>
    <row r="77" spans="2:2" s="5" customFormat="1" ht="18" customHeight="1" x14ac:dyDescent="0.15">
      <c r="B77" s="4"/>
    </row>
    <row r="78" spans="2:2" s="5" customFormat="1" ht="18" customHeight="1" x14ac:dyDescent="0.15">
      <c r="B78" s="4"/>
    </row>
    <row r="79" spans="2:2" s="5" customFormat="1" ht="18" customHeight="1" x14ac:dyDescent="0.15">
      <c r="B79" s="4"/>
    </row>
    <row r="80" spans="2:2" s="5" customFormat="1" ht="18" customHeight="1" x14ac:dyDescent="0.15">
      <c r="B80" s="4"/>
    </row>
    <row r="81" spans="2:2" s="5" customFormat="1" ht="18" customHeight="1" x14ac:dyDescent="0.15">
      <c r="B81" s="4"/>
    </row>
    <row r="82" spans="2:2" s="5" customFormat="1" ht="18" customHeight="1" x14ac:dyDescent="0.15">
      <c r="B82" s="4"/>
    </row>
    <row r="83" spans="2:2" s="5" customFormat="1" ht="18" customHeight="1" x14ac:dyDescent="0.15">
      <c r="B83" s="4"/>
    </row>
    <row r="84" spans="2:2" s="5" customFormat="1" ht="18" customHeight="1" x14ac:dyDescent="0.15">
      <c r="B84" s="4"/>
    </row>
    <row r="85" spans="2:2" s="5" customFormat="1" ht="18" customHeight="1" x14ac:dyDescent="0.15">
      <c r="B85" s="4"/>
    </row>
    <row r="86" spans="2:2" s="5" customFormat="1" ht="18" customHeight="1" x14ac:dyDescent="0.15">
      <c r="B86" s="4"/>
    </row>
    <row r="87" spans="2:2" s="5" customFormat="1" ht="18" customHeight="1" x14ac:dyDescent="0.15">
      <c r="B87" s="4"/>
    </row>
    <row r="88" spans="2:2" s="5" customFormat="1" ht="18" customHeight="1" x14ac:dyDescent="0.15">
      <c r="B88" s="4"/>
    </row>
    <row r="89" spans="2:2" s="5" customFormat="1" ht="18" customHeight="1" x14ac:dyDescent="0.15">
      <c r="B89" s="4"/>
    </row>
    <row r="90" spans="2:2" s="5" customFormat="1" ht="18" customHeight="1" x14ac:dyDescent="0.15">
      <c r="B90" s="4"/>
    </row>
    <row r="91" spans="2:2" s="5" customFormat="1" ht="18" customHeight="1" x14ac:dyDescent="0.15">
      <c r="B91" s="4"/>
    </row>
    <row r="92" spans="2:2" s="5" customFormat="1" ht="18" customHeight="1" x14ac:dyDescent="0.15">
      <c r="B92" s="4"/>
    </row>
    <row r="93" spans="2:2" s="5" customFormat="1" ht="18" customHeight="1" x14ac:dyDescent="0.15">
      <c r="B93" s="4"/>
    </row>
    <row r="94" spans="2:2" s="5" customFormat="1" ht="18" customHeight="1" x14ac:dyDescent="0.15">
      <c r="B94" s="4"/>
    </row>
    <row r="95" spans="2:2" s="5" customFormat="1" ht="18" customHeight="1" x14ac:dyDescent="0.15">
      <c r="B95" s="4"/>
    </row>
    <row r="96" spans="2:2" s="5" customFormat="1" ht="18" customHeight="1" x14ac:dyDescent="0.15">
      <c r="B96" s="4"/>
    </row>
    <row r="97" spans="2:2" s="5" customFormat="1" ht="18" customHeight="1" x14ac:dyDescent="0.15">
      <c r="B97" s="4"/>
    </row>
    <row r="98" spans="2:2" s="5" customFormat="1" ht="18" customHeight="1" x14ac:dyDescent="0.15">
      <c r="B98" s="4"/>
    </row>
    <row r="99" spans="2:2" s="5" customFormat="1" ht="18" customHeight="1" x14ac:dyDescent="0.15">
      <c r="B99" s="4"/>
    </row>
    <row r="100" spans="2:2" s="5" customFormat="1" ht="18" customHeight="1" x14ac:dyDescent="0.15">
      <c r="B100" s="4"/>
    </row>
    <row r="101" spans="2:2" s="5" customFormat="1" ht="18" customHeight="1" x14ac:dyDescent="0.15">
      <c r="B101" s="4"/>
    </row>
    <row r="102" spans="2:2" s="5" customFormat="1" ht="18" customHeight="1" x14ac:dyDescent="0.15">
      <c r="B102" s="4"/>
    </row>
    <row r="103" spans="2:2" s="5" customFormat="1" ht="18" customHeight="1" x14ac:dyDescent="0.15">
      <c r="B103" s="4"/>
    </row>
    <row r="104" spans="2:2" s="5" customFormat="1" ht="18" customHeight="1" x14ac:dyDescent="0.15">
      <c r="B104" s="4"/>
    </row>
    <row r="105" spans="2:2" s="5" customFormat="1" ht="18" customHeight="1" x14ac:dyDescent="0.15">
      <c r="B105" s="4"/>
    </row>
    <row r="106" spans="2:2" s="5" customFormat="1" ht="18" customHeight="1" x14ac:dyDescent="0.15">
      <c r="B106" s="4"/>
    </row>
    <row r="107" spans="2:2" s="5" customFormat="1" ht="18" customHeight="1" x14ac:dyDescent="0.15">
      <c r="B107" s="4"/>
    </row>
    <row r="108" spans="2:2" s="5" customFormat="1" ht="18" customHeight="1" x14ac:dyDescent="0.15">
      <c r="B108" s="4"/>
    </row>
    <row r="109" spans="2:2" s="5" customFormat="1" ht="18" customHeight="1" x14ac:dyDescent="0.15">
      <c r="B109" s="4"/>
    </row>
    <row r="110" spans="2:2" s="5" customFormat="1" ht="18" customHeight="1" x14ac:dyDescent="0.15">
      <c r="B110" s="4"/>
    </row>
    <row r="111" spans="2:2" s="5" customFormat="1" ht="18" customHeight="1" x14ac:dyDescent="0.15">
      <c r="B111" s="4"/>
    </row>
    <row r="112" spans="2:2" s="5" customFormat="1" ht="18" customHeight="1" x14ac:dyDescent="0.15">
      <c r="B112" s="4"/>
    </row>
    <row r="113" spans="2:2" s="5" customFormat="1" ht="18" customHeight="1" x14ac:dyDescent="0.15">
      <c r="B113" s="4"/>
    </row>
    <row r="114" spans="2:2" s="5" customFormat="1" ht="18" customHeight="1" x14ac:dyDescent="0.15">
      <c r="B114" s="4"/>
    </row>
    <row r="115" spans="2:2" s="5" customFormat="1" ht="18" customHeight="1" x14ac:dyDescent="0.15">
      <c r="B115" s="4"/>
    </row>
    <row r="116" spans="2:2" s="5" customFormat="1" ht="18" customHeight="1" x14ac:dyDescent="0.15">
      <c r="B116" s="4"/>
    </row>
    <row r="117" spans="2:2" s="5" customFormat="1" ht="18" customHeight="1" x14ac:dyDescent="0.15">
      <c r="B117" s="4"/>
    </row>
    <row r="118" spans="2:2" s="5" customFormat="1" ht="18" customHeight="1" x14ac:dyDescent="0.15">
      <c r="B118" s="4"/>
    </row>
    <row r="119" spans="2:2" s="5" customFormat="1" ht="18" customHeight="1" x14ac:dyDescent="0.15">
      <c r="B119" s="4"/>
    </row>
    <row r="120" spans="2:2" s="5" customFormat="1" ht="18" customHeight="1" x14ac:dyDescent="0.15">
      <c r="B120" s="4"/>
    </row>
    <row r="121" spans="2:2" s="5" customFormat="1" ht="18" customHeight="1" x14ac:dyDescent="0.15">
      <c r="B121" s="4"/>
    </row>
    <row r="122" spans="2:2" s="5" customFormat="1" ht="18" customHeight="1" x14ac:dyDescent="0.15">
      <c r="B122" s="4"/>
    </row>
    <row r="123" spans="2:2" s="5" customFormat="1" ht="18" customHeight="1" x14ac:dyDescent="0.15">
      <c r="B123" s="4"/>
    </row>
    <row r="124" spans="2:2" s="5" customFormat="1" ht="18" customHeight="1" x14ac:dyDescent="0.15">
      <c r="B124" s="4"/>
    </row>
    <row r="125" spans="2:2" s="5" customFormat="1" ht="18" customHeight="1" x14ac:dyDescent="0.15">
      <c r="B125" s="4"/>
    </row>
    <row r="126" spans="2:2" s="5" customFormat="1" ht="18" customHeight="1" x14ac:dyDescent="0.15">
      <c r="B126" s="4"/>
    </row>
    <row r="127" spans="2:2" s="5" customFormat="1" ht="18" customHeight="1" x14ac:dyDescent="0.15">
      <c r="B127" s="4"/>
    </row>
    <row r="128" spans="2:2" s="5" customFormat="1" ht="18" customHeight="1" x14ac:dyDescent="0.15">
      <c r="B128" s="4"/>
    </row>
    <row r="129" spans="2:2" s="5" customFormat="1" ht="18" customHeight="1" x14ac:dyDescent="0.15">
      <c r="B129" s="4"/>
    </row>
    <row r="130" spans="2:2" s="5" customFormat="1" ht="18" customHeight="1" x14ac:dyDescent="0.15">
      <c r="B130" s="4"/>
    </row>
    <row r="131" spans="2:2" s="5" customFormat="1" ht="18" customHeight="1" x14ac:dyDescent="0.15">
      <c r="B131" s="4"/>
    </row>
    <row r="132" spans="2:2" s="5" customFormat="1" ht="18" customHeight="1" x14ac:dyDescent="0.15">
      <c r="B132" s="4"/>
    </row>
    <row r="133" spans="2:2" s="5" customFormat="1" ht="18" customHeight="1" x14ac:dyDescent="0.15">
      <c r="B133" s="4"/>
    </row>
    <row r="134" spans="2:2" s="5" customFormat="1" ht="18" customHeight="1" x14ac:dyDescent="0.15">
      <c r="B134" s="4"/>
    </row>
    <row r="135" spans="2:2" s="5" customFormat="1" ht="18" customHeight="1" x14ac:dyDescent="0.15">
      <c r="B135" s="4"/>
    </row>
    <row r="136" spans="2:2" s="5" customFormat="1" ht="18" customHeight="1" x14ac:dyDescent="0.15">
      <c r="B136" s="4"/>
    </row>
    <row r="137" spans="2:2" s="5" customFormat="1" ht="18" customHeight="1" x14ac:dyDescent="0.15">
      <c r="B137" s="4"/>
    </row>
    <row r="138" spans="2:2" s="5" customFormat="1" ht="18" customHeight="1" x14ac:dyDescent="0.15">
      <c r="B138" s="4"/>
    </row>
    <row r="139" spans="2:2" s="5" customFormat="1" ht="18" customHeight="1" x14ac:dyDescent="0.15">
      <c r="B139" s="4"/>
    </row>
    <row r="140" spans="2:2" s="5" customFormat="1" ht="18" customHeight="1" x14ac:dyDescent="0.15">
      <c r="B140" s="4"/>
    </row>
    <row r="141" spans="2:2" s="5" customFormat="1" ht="18" customHeight="1" x14ac:dyDescent="0.15">
      <c r="B141" s="4"/>
    </row>
    <row r="142" spans="2:2" s="5" customFormat="1" ht="18" customHeight="1" x14ac:dyDescent="0.15">
      <c r="B142" s="4"/>
    </row>
    <row r="143" spans="2:2" s="5" customFormat="1" ht="18" customHeight="1" x14ac:dyDescent="0.15">
      <c r="B143" s="4"/>
    </row>
    <row r="144" spans="2:2" s="5" customFormat="1" ht="18" customHeight="1" x14ac:dyDescent="0.15">
      <c r="B144" s="4"/>
    </row>
    <row r="145" spans="2:2" s="5" customFormat="1" ht="18" customHeight="1" x14ac:dyDescent="0.15">
      <c r="B145" s="4"/>
    </row>
    <row r="146" spans="2:2" s="5" customFormat="1" ht="18" customHeight="1" x14ac:dyDescent="0.15">
      <c r="B146" s="4"/>
    </row>
    <row r="147" spans="2:2" s="5" customFormat="1" ht="18" customHeight="1" x14ac:dyDescent="0.15">
      <c r="B147" s="4"/>
    </row>
    <row r="148" spans="2:2" s="5" customFormat="1" ht="18" customHeight="1" x14ac:dyDescent="0.15">
      <c r="B148" s="4"/>
    </row>
    <row r="149" spans="2:2" s="5" customFormat="1" ht="18" customHeight="1" x14ac:dyDescent="0.15">
      <c r="B149" s="4"/>
    </row>
    <row r="150" spans="2:2" s="5" customFormat="1" ht="18" customHeight="1" x14ac:dyDescent="0.15">
      <c r="B150" s="4"/>
    </row>
    <row r="151" spans="2:2" s="5" customFormat="1" ht="18" customHeight="1" x14ac:dyDescent="0.15">
      <c r="B151" s="4"/>
    </row>
    <row r="152" spans="2:2" s="5" customFormat="1" ht="18" customHeight="1" x14ac:dyDescent="0.15">
      <c r="B152" s="4"/>
    </row>
    <row r="153" spans="2:2" s="5" customFormat="1" ht="18" customHeight="1" x14ac:dyDescent="0.15">
      <c r="B153" s="4"/>
    </row>
    <row r="154" spans="2:2" s="5" customFormat="1" ht="18" customHeight="1" x14ac:dyDescent="0.15">
      <c r="B154" s="4"/>
    </row>
  </sheetData>
  <phoneticPr fontId="4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99210E-C98F-4CE1-8D36-0FF78E8160FF}">
  <dimension ref="A1"/>
  <sheetViews>
    <sheetView workbookViewId="0"/>
  </sheetViews>
  <sheetFormatPr defaultRowHeight="13.5" x14ac:dyDescent="0.15"/>
  <sheetData/>
  <phoneticPr fontId="4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C110C4-6F88-4519-913C-358CD72704B4}">
  <dimension ref="A1:DE148"/>
  <sheetViews>
    <sheetView tabSelected="1" zoomScaleNormal="100" workbookViewId="0">
      <selection activeCell="O14" sqref="O14"/>
    </sheetView>
  </sheetViews>
  <sheetFormatPr defaultRowHeight="14.25" x14ac:dyDescent="0.15"/>
  <cols>
    <col min="1" max="1" width="4.625" style="5" customWidth="1"/>
    <col min="2" max="2" width="15.625" style="5" customWidth="1"/>
    <col min="3" max="5" width="10.625" style="5" customWidth="1"/>
    <col min="6" max="6" width="4.625" style="5" customWidth="1"/>
    <col min="7" max="7" width="12.625" style="5" customWidth="1"/>
    <col min="8" max="109" width="8.625" style="5" customWidth="1"/>
    <col min="110" max="178" width="8.625" customWidth="1"/>
  </cols>
  <sheetData>
    <row r="1" spans="1:25" s="7" customFormat="1" ht="20.100000000000001" customHeight="1" x14ac:dyDescent="0.15">
      <c r="A1" s="5"/>
      <c r="B1" s="6" t="s">
        <v>15</v>
      </c>
      <c r="C1" s="5"/>
      <c r="D1" s="5"/>
      <c r="E1" s="5"/>
      <c r="F1" s="5"/>
      <c r="G1" s="6" t="s">
        <v>16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</row>
    <row r="2" spans="1:25" s="7" customFormat="1" ht="18" customHeight="1" x14ac:dyDescent="0.15">
      <c r="A2" s="5"/>
      <c r="B2" s="5" t="s">
        <v>17</v>
      </c>
      <c r="C2" s="5"/>
      <c r="D2" s="5"/>
      <c r="E2" s="5"/>
      <c r="F2" s="5"/>
      <c r="G2" s="20">
        <f>C14/(C8-C7)</f>
        <v>1000</v>
      </c>
      <c r="H2" s="2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</row>
    <row r="3" spans="1:25" s="7" customFormat="1" ht="18" customHeight="1" x14ac:dyDescent="0.15">
      <c r="A3" s="5"/>
      <c r="B3" s="5" t="s">
        <v>18</v>
      </c>
      <c r="C3" s="8">
        <v>1000</v>
      </c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</row>
    <row r="4" spans="1:25" s="7" customFormat="1" ht="18" customHeight="1" x14ac:dyDescent="0.15">
      <c r="A4" s="5"/>
      <c r="B4" s="26" t="s">
        <v>37</v>
      </c>
      <c r="C4" s="9">
        <v>0.1</v>
      </c>
      <c r="D4" s="5"/>
      <c r="E4" s="5"/>
      <c r="F4" s="5"/>
      <c r="G4" s="6" t="s">
        <v>19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</row>
    <row r="5" spans="1:25" s="7" customFormat="1" ht="18" customHeight="1" x14ac:dyDescent="0.15">
      <c r="A5" s="5"/>
      <c r="B5" s="5" t="s">
        <v>20</v>
      </c>
      <c r="C5" s="9">
        <v>0.4</v>
      </c>
      <c r="D5" s="5"/>
      <c r="E5" s="5"/>
      <c r="F5" s="5"/>
      <c r="G5" s="21">
        <f>G2</f>
        <v>1000</v>
      </c>
      <c r="H5" s="22">
        <v>0.2</v>
      </c>
      <c r="I5" s="22">
        <v>0.4</v>
      </c>
      <c r="J5" s="22">
        <v>0.6</v>
      </c>
      <c r="K5" s="22">
        <v>0.79</v>
      </c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</row>
    <row r="6" spans="1:25" s="7" customFormat="1" ht="18" customHeight="1" x14ac:dyDescent="0.15">
      <c r="A6" s="5"/>
      <c r="B6" s="5" t="s">
        <v>21</v>
      </c>
      <c r="C6" s="23">
        <f>1-C5</f>
        <v>0.6</v>
      </c>
      <c r="D6" s="5"/>
      <c r="E6" s="5"/>
      <c r="F6" s="5"/>
      <c r="G6" s="22">
        <v>0.08</v>
      </c>
      <c r="H6" s="24">
        <f t="dataTable" ref="H6:K8" dt2D="1" dtr="1" r1="C5" r2="C8"/>
        <v>1333.3333333333335</v>
      </c>
      <c r="I6" s="24">
        <v>1500.0000000000002</v>
      </c>
      <c r="J6" s="24">
        <v>1999.9999999999995</v>
      </c>
      <c r="K6" s="24">
        <v>21000.000000000269</v>
      </c>
      <c r="L6" s="2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</row>
    <row r="7" spans="1:25" s="7" customFormat="1" ht="18" customHeight="1" x14ac:dyDescent="0.15">
      <c r="A7" s="5"/>
      <c r="B7" s="5" t="s">
        <v>22</v>
      </c>
      <c r="C7" s="25">
        <f>C4*C5</f>
        <v>4.0000000000000008E-2</v>
      </c>
      <c r="D7" s="5" t="s">
        <v>23</v>
      </c>
      <c r="E7" s="5"/>
      <c r="F7" s="5"/>
      <c r="G7" s="22">
        <v>0.1</v>
      </c>
      <c r="H7" s="24">
        <v>1000</v>
      </c>
      <c r="I7" s="24">
        <v>1000</v>
      </c>
      <c r="J7" s="24">
        <v>999.99999999999977</v>
      </c>
      <c r="K7" s="24">
        <v>1000.0000000000002</v>
      </c>
      <c r="L7" s="2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</row>
    <row r="8" spans="1:25" s="7" customFormat="1" ht="18" customHeight="1" x14ac:dyDescent="0.15">
      <c r="A8" s="5"/>
      <c r="B8" s="26" t="s">
        <v>24</v>
      </c>
      <c r="C8" s="27">
        <v>0.1</v>
      </c>
      <c r="D8" s="5"/>
      <c r="E8" s="5"/>
      <c r="F8" s="5"/>
      <c r="G8" s="22">
        <v>0.12</v>
      </c>
      <c r="H8" s="24">
        <v>800.00000000000011</v>
      </c>
      <c r="I8" s="24">
        <v>750.00000000000011</v>
      </c>
      <c r="J8" s="24">
        <v>666.66666666666674</v>
      </c>
      <c r="K8" s="24">
        <v>512.19512195121968</v>
      </c>
      <c r="L8" s="2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</row>
    <row r="9" spans="1:25" s="7" customFormat="1" ht="18" customHeight="1" x14ac:dyDescent="0.15">
      <c r="A9" s="5"/>
      <c r="B9" s="5"/>
      <c r="C9" s="2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</row>
    <row r="10" spans="1:25" s="7" customFormat="1" ht="18" customHeight="1" x14ac:dyDescent="0.15">
      <c r="A10" s="5"/>
      <c r="B10" s="28" t="s">
        <v>25</v>
      </c>
      <c r="C10" s="29">
        <v>1</v>
      </c>
      <c r="D10" s="29">
        <v>2</v>
      </c>
      <c r="E10" s="29">
        <v>3</v>
      </c>
      <c r="F10" s="5"/>
      <c r="G10" s="6" t="s">
        <v>26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</row>
    <row r="11" spans="1:25" s="7" customFormat="1" ht="18" customHeight="1" x14ac:dyDescent="0.15">
      <c r="A11" s="5"/>
      <c r="B11" s="28" t="s">
        <v>27</v>
      </c>
      <c r="C11" s="30">
        <f>C3</f>
        <v>1000</v>
      </c>
      <c r="D11" s="30">
        <f>C15</f>
        <v>1040</v>
      </c>
      <c r="E11" s="30">
        <f>D15</f>
        <v>1081.5999999999999</v>
      </c>
      <c r="F11" s="5"/>
      <c r="G11" s="31">
        <f>G2/C3</f>
        <v>1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</row>
    <row r="12" spans="1:25" s="7" customFormat="1" ht="18" customHeight="1" x14ac:dyDescent="0.15">
      <c r="A12" s="5"/>
      <c r="B12" s="28" t="s">
        <v>28</v>
      </c>
      <c r="C12" s="28">
        <f>C11*$C$4</f>
        <v>100</v>
      </c>
      <c r="D12" s="28">
        <f>D11*$C$4</f>
        <v>104</v>
      </c>
      <c r="E12" s="28">
        <f>E11*$C$4</f>
        <v>108.16</v>
      </c>
      <c r="F12" s="5"/>
      <c r="G12" s="5"/>
      <c r="H12" s="10"/>
      <c r="I12" s="10"/>
      <c r="J12" s="10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</row>
    <row r="13" spans="1:25" s="7" customFormat="1" ht="18" customHeight="1" x14ac:dyDescent="0.15">
      <c r="A13" s="5"/>
      <c r="B13" s="28" t="s">
        <v>29</v>
      </c>
      <c r="C13" s="28">
        <f>C12*$C$5</f>
        <v>40</v>
      </c>
      <c r="D13" s="28">
        <f>D12*$C$5</f>
        <v>41.6</v>
      </c>
      <c r="E13" s="28">
        <f>E12*$C$5</f>
        <v>43.264000000000003</v>
      </c>
      <c r="F13" s="5"/>
      <c r="G13" s="6" t="s">
        <v>30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</row>
    <row r="14" spans="1:25" s="7" customFormat="1" ht="18" customHeight="1" x14ac:dyDescent="0.15">
      <c r="A14" s="5"/>
      <c r="B14" s="28" t="s">
        <v>31</v>
      </c>
      <c r="C14" s="28">
        <f>C12*$C$6</f>
        <v>60</v>
      </c>
      <c r="D14" s="28">
        <f>D12*$C$6</f>
        <v>62.4</v>
      </c>
      <c r="E14" s="28">
        <f>E12*$C$6</f>
        <v>64.896000000000001</v>
      </c>
      <c r="F14" s="5"/>
      <c r="G14" s="32">
        <f>G11</f>
        <v>1</v>
      </c>
      <c r="H14" s="22">
        <v>0.2</v>
      </c>
      <c r="I14" s="22">
        <v>0.4</v>
      </c>
      <c r="J14" s="22">
        <v>0.6</v>
      </c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</row>
    <row r="15" spans="1:25" s="7" customFormat="1" ht="18" customHeight="1" x14ac:dyDescent="0.15">
      <c r="A15" s="5"/>
      <c r="B15" s="28" t="s">
        <v>32</v>
      </c>
      <c r="C15" s="30">
        <f>C11+C12-C14</f>
        <v>1040</v>
      </c>
      <c r="D15" s="30">
        <f>D11+D12-D14</f>
        <v>1081.5999999999999</v>
      </c>
      <c r="E15" s="30">
        <f>E11+E12-E14</f>
        <v>1124.864</v>
      </c>
      <c r="F15" s="5"/>
      <c r="G15" s="22">
        <v>0.08</v>
      </c>
      <c r="H15" s="33">
        <v>1.3333333333333335</v>
      </c>
      <c r="I15" s="33">
        <v>1.5000000000000002</v>
      </c>
      <c r="J15" s="33">
        <v>1.9999999999999996</v>
      </c>
      <c r="K15" s="2" t="s">
        <v>1</v>
      </c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</row>
    <row r="16" spans="1:25" s="7" customFormat="1" ht="18" customHeight="1" x14ac:dyDescent="0.15">
      <c r="A16" s="5"/>
      <c r="B16" s="5"/>
      <c r="C16" s="5"/>
      <c r="D16" s="5"/>
      <c r="E16" s="5"/>
      <c r="F16" s="5"/>
      <c r="G16" s="22">
        <v>0.1</v>
      </c>
      <c r="H16" s="33">
        <v>1</v>
      </c>
      <c r="I16" s="33">
        <v>1</v>
      </c>
      <c r="J16" s="33">
        <v>0.99999999999999978</v>
      </c>
      <c r="K16" s="2" t="s">
        <v>1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</row>
    <row r="17" spans="1:108" s="7" customFormat="1" ht="18" customHeight="1" x14ac:dyDescent="0.15">
      <c r="A17" s="5"/>
      <c r="B17" s="28" t="s">
        <v>33</v>
      </c>
      <c r="C17" s="29" t="s">
        <v>34</v>
      </c>
      <c r="D17" s="34">
        <f>D12/C12-1</f>
        <v>4.0000000000000036E-2</v>
      </c>
      <c r="E17" s="34">
        <f>E12/D12-1</f>
        <v>4.0000000000000036E-2</v>
      </c>
      <c r="F17" s="5"/>
      <c r="G17" s="22">
        <v>0.12</v>
      </c>
      <c r="H17" s="33">
        <v>0.80000000000000016</v>
      </c>
      <c r="I17" s="33">
        <v>0.75000000000000011</v>
      </c>
      <c r="J17" s="33">
        <v>0.66666666666666674</v>
      </c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</row>
    <row r="18" spans="1:108" s="7" customFormat="1" ht="18" customHeight="1" x14ac:dyDescent="0.15">
      <c r="A18" s="5"/>
      <c r="B18" s="28" t="s">
        <v>35</v>
      </c>
      <c r="C18" s="29" t="s">
        <v>34</v>
      </c>
      <c r="D18" s="34">
        <f>D14/C14-1</f>
        <v>4.0000000000000036E-2</v>
      </c>
      <c r="E18" s="34">
        <f>E14/D14-1</f>
        <v>4.0000000000000036E-2</v>
      </c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</row>
    <row r="19" spans="1:108" s="7" customFormat="1" ht="18" customHeight="1" x14ac:dyDescent="0.15">
      <c r="A19" s="5"/>
      <c r="B19" s="28" t="s">
        <v>36</v>
      </c>
      <c r="C19" s="29" t="s">
        <v>34</v>
      </c>
      <c r="D19" s="34">
        <f>D15/C15-1</f>
        <v>3.9999999999999813E-2</v>
      </c>
      <c r="E19" s="34">
        <f>E15/D15-1</f>
        <v>4.0000000000000036E-2</v>
      </c>
      <c r="F19" s="5"/>
      <c r="G19" s="6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DD19" s="5"/>
    </row>
    <row r="20" spans="1:108" ht="18" customHeight="1" x14ac:dyDescent="0.15">
      <c r="G20" s="35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1"/>
      <c r="AA20" s="11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7"/>
      <c r="DA20" s="7"/>
      <c r="DB20" s="7"/>
      <c r="DC20" s="7"/>
    </row>
    <row r="21" spans="1:108" ht="18" customHeight="1" x14ac:dyDescent="0.15"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12"/>
      <c r="AR21" s="12"/>
      <c r="AS21" s="12"/>
      <c r="AT21" s="12"/>
      <c r="AU21" s="12"/>
      <c r="AV21" s="12"/>
      <c r="AW21" s="12"/>
      <c r="AX21" s="12"/>
      <c r="AY21" s="12"/>
      <c r="AZ21" s="12"/>
      <c r="BA21" s="12"/>
      <c r="BB21" s="12"/>
      <c r="BC21" s="12"/>
      <c r="BD21" s="12"/>
      <c r="BE21" s="12"/>
      <c r="BF21" s="12"/>
      <c r="BG21" s="12"/>
      <c r="BH21" s="12"/>
      <c r="BI21" s="12"/>
      <c r="BJ21" s="12"/>
      <c r="BK21" s="12"/>
      <c r="BL21" s="12"/>
      <c r="BM21" s="12"/>
      <c r="BN21" s="12"/>
      <c r="BO21" s="12"/>
      <c r="BP21" s="12"/>
      <c r="BQ21" s="12"/>
      <c r="BR21" s="12"/>
      <c r="BS21" s="12"/>
      <c r="BT21" s="12"/>
      <c r="BU21" s="12"/>
      <c r="BV21" s="12"/>
      <c r="BW21" s="12"/>
      <c r="BX21" s="12"/>
      <c r="BY21" s="12"/>
      <c r="BZ21" s="12"/>
      <c r="CA21" s="12"/>
      <c r="CB21" s="12"/>
      <c r="CC21" s="12"/>
      <c r="CD21" s="12"/>
      <c r="CE21" s="12"/>
      <c r="CF21" s="12"/>
      <c r="CG21" s="12"/>
      <c r="CH21" s="12"/>
      <c r="CI21" s="12"/>
      <c r="CJ21" s="12"/>
      <c r="CK21" s="12"/>
      <c r="CL21" s="12"/>
      <c r="CM21" s="12"/>
      <c r="CN21" s="12"/>
      <c r="CO21" s="12"/>
      <c r="CP21" s="12"/>
      <c r="CQ21" s="12"/>
      <c r="CR21" s="12"/>
      <c r="CS21" s="12"/>
      <c r="CT21" s="12"/>
      <c r="CU21" s="12"/>
      <c r="CV21" s="12"/>
      <c r="CW21" s="12"/>
      <c r="CX21" s="12"/>
      <c r="CY21" s="12"/>
      <c r="CZ21" s="12"/>
      <c r="DA21" s="12"/>
      <c r="DB21" s="12"/>
      <c r="DC21" s="12"/>
    </row>
    <row r="22" spans="1:108" ht="18" customHeight="1" x14ac:dyDescent="0.15"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  <c r="X22" s="13"/>
      <c r="Y22" s="13"/>
      <c r="Z22" s="13"/>
      <c r="AA22" s="13"/>
      <c r="AB22" s="13"/>
      <c r="AC22" s="13"/>
      <c r="AD22" s="13"/>
      <c r="AE22" s="13"/>
      <c r="AF22" s="13"/>
      <c r="AG22" s="13"/>
      <c r="AH22" s="13"/>
      <c r="AI22" s="13"/>
      <c r="AJ22" s="13"/>
      <c r="AK22" s="13"/>
      <c r="AL22" s="13"/>
      <c r="AM22" s="13"/>
      <c r="AN22" s="13"/>
      <c r="AO22" s="13"/>
      <c r="AP22" s="13"/>
      <c r="AQ22" s="13"/>
      <c r="AR22" s="13"/>
      <c r="AS22" s="13"/>
      <c r="AT22" s="13"/>
      <c r="AU22" s="13"/>
      <c r="AV22" s="13"/>
      <c r="AW22" s="13"/>
      <c r="AX22" s="13"/>
      <c r="AY22" s="13"/>
      <c r="AZ22" s="13"/>
      <c r="BA22" s="13"/>
      <c r="BB22" s="13"/>
      <c r="BC22" s="13"/>
      <c r="BD22" s="13"/>
      <c r="BE22" s="13"/>
      <c r="BF22" s="13"/>
      <c r="BG22" s="13"/>
      <c r="BH22" s="13"/>
      <c r="BI22" s="13"/>
      <c r="BJ22" s="13"/>
      <c r="BK22" s="13"/>
      <c r="BL22" s="13"/>
      <c r="BM22" s="13"/>
      <c r="BN22" s="13"/>
      <c r="BO22" s="13"/>
      <c r="BP22" s="13"/>
      <c r="BQ22" s="13"/>
      <c r="BR22" s="13"/>
      <c r="BS22" s="13"/>
      <c r="BT22" s="13"/>
      <c r="BU22" s="13"/>
      <c r="BV22" s="13"/>
      <c r="BW22" s="13"/>
      <c r="BX22" s="13"/>
      <c r="BY22" s="13"/>
      <c r="BZ22" s="13"/>
      <c r="CA22" s="13"/>
      <c r="CB22" s="13"/>
      <c r="CC22" s="13"/>
      <c r="CD22" s="13"/>
      <c r="CE22" s="13"/>
      <c r="CF22" s="13"/>
      <c r="CG22" s="13"/>
      <c r="CH22" s="13"/>
      <c r="CI22" s="13"/>
      <c r="CJ22" s="13"/>
      <c r="CK22" s="13"/>
      <c r="CL22" s="13"/>
      <c r="CM22" s="13"/>
      <c r="CN22" s="13"/>
      <c r="CO22" s="13"/>
      <c r="CP22" s="13"/>
      <c r="CQ22" s="13"/>
      <c r="CR22" s="13"/>
      <c r="CS22" s="13"/>
      <c r="CT22" s="13"/>
      <c r="CU22" s="13"/>
      <c r="CV22" s="13"/>
      <c r="CW22" s="13"/>
      <c r="CX22" s="13"/>
      <c r="CY22" s="13"/>
      <c r="CZ22" s="13"/>
      <c r="DA22" s="13"/>
      <c r="DB22" s="13"/>
      <c r="DC22" s="13"/>
    </row>
    <row r="23" spans="1:108" ht="18" customHeight="1" x14ac:dyDescent="0.15">
      <c r="H23" s="14"/>
    </row>
    <row r="24" spans="1:108" ht="18" customHeight="1" x14ac:dyDescent="0.15">
      <c r="H24" s="14"/>
    </row>
    <row r="25" spans="1:108" ht="18" customHeight="1" x14ac:dyDescent="0.15">
      <c r="H25" s="14"/>
    </row>
    <row r="26" spans="1:108" ht="18" customHeight="1" x14ac:dyDescent="0.15">
      <c r="H26" s="14"/>
    </row>
    <row r="27" spans="1:108" ht="18" customHeight="1" x14ac:dyDescent="0.15"/>
    <row r="28" spans="1:108" ht="18" customHeight="1" x14ac:dyDescent="0.15"/>
    <row r="29" spans="1:108" ht="18" customHeight="1" x14ac:dyDescent="0.15"/>
    <row r="30" spans="1:108" ht="18" customHeight="1" x14ac:dyDescent="0.15"/>
    <row r="31" spans="1:108" ht="18" customHeight="1" x14ac:dyDescent="0.15"/>
    <row r="32" spans="1:108" ht="18" customHeight="1" x14ac:dyDescent="0.15"/>
    <row r="33" ht="18" customHeight="1" x14ac:dyDescent="0.15"/>
    <row r="34" ht="18" customHeight="1" x14ac:dyDescent="0.15"/>
    <row r="35" ht="18" customHeight="1" x14ac:dyDescent="0.15"/>
    <row r="36" ht="18" customHeight="1" x14ac:dyDescent="0.15"/>
    <row r="37" ht="18" customHeight="1" x14ac:dyDescent="0.15"/>
    <row r="38" ht="18" customHeight="1" x14ac:dyDescent="0.15"/>
    <row r="39" ht="18" customHeight="1" x14ac:dyDescent="0.15"/>
    <row r="40" ht="18" customHeight="1" x14ac:dyDescent="0.15"/>
    <row r="41" ht="18" customHeight="1" x14ac:dyDescent="0.15"/>
    <row r="42" ht="18" customHeight="1" x14ac:dyDescent="0.15"/>
    <row r="43" ht="18" customHeight="1" x14ac:dyDescent="0.15"/>
    <row r="44" ht="18" customHeight="1" x14ac:dyDescent="0.15"/>
    <row r="45" ht="18" customHeight="1" x14ac:dyDescent="0.15"/>
    <row r="46" ht="18" customHeight="1" x14ac:dyDescent="0.15"/>
    <row r="47" ht="18" customHeight="1" x14ac:dyDescent="0.15"/>
    <row r="48" ht="18" customHeight="1" x14ac:dyDescent="0.15"/>
    <row r="49" ht="18" customHeight="1" x14ac:dyDescent="0.15"/>
    <row r="50" ht="18" customHeight="1" x14ac:dyDescent="0.15"/>
    <row r="51" ht="18" customHeight="1" x14ac:dyDescent="0.15"/>
    <row r="52" ht="18" customHeight="1" x14ac:dyDescent="0.15"/>
    <row r="53" ht="18" customHeight="1" x14ac:dyDescent="0.15"/>
    <row r="54" ht="18" customHeight="1" x14ac:dyDescent="0.15"/>
    <row r="55" ht="18" customHeight="1" x14ac:dyDescent="0.15"/>
    <row r="56" ht="18" customHeight="1" x14ac:dyDescent="0.15"/>
    <row r="57" ht="18" customHeight="1" x14ac:dyDescent="0.15"/>
    <row r="58" ht="18" customHeight="1" x14ac:dyDescent="0.15"/>
    <row r="59" ht="18" customHeight="1" x14ac:dyDescent="0.15"/>
    <row r="60" ht="18" customHeight="1" x14ac:dyDescent="0.15"/>
    <row r="61" ht="18" customHeight="1" x14ac:dyDescent="0.15"/>
    <row r="62" ht="18" customHeight="1" x14ac:dyDescent="0.15"/>
    <row r="63" ht="18" customHeight="1" x14ac:dyDescent="0.15"/>
    <row r="64" ht="18" customHeight="1" x14ac:dyDescent="0.15"/>
    <row r="65" ht="18" customHeight="1" x14ac:dyDescent="0.15"/>
    <row r="66" ht="18" customHeight="1" x14ac:dyDescent="0.15"/>
    <row r="67" ht="18" customHeight="1" x14ac:dyDescent="0.15"/>
    <row r="68" ht="18" customHeight="1" x14ac:dyDescent="0.15"/>
    <row r="69" ht="18" customHeight="1" x14ac:dyDescent="0.15"/>
    <row r="70" ht="18" customHeight="1" x14ac:dyDescent="0.15"/>
    <row r="71" ht="18" customHeight="1" x14ac:dyDescent="0.15"/>
    <row r="72" ht="18" customHeight="1" x14ac:dyDescent="0.15"/>
    <row r="73" ht="18" customHeight="1" x14ac:dyDescent="0.15"/>
    <row r="74" ht="18" customHeight="1" x14ac:dyDescent="0.15"/>
    <row r="75" ht="18" customHeight="1" x14ac:dyDescent="0.15"/>
    <row r="76" ht="18" customHeight="1" x14ac:dyDescent="0.15"/>
    <row r="77" ht="18" customHeight="1" x14ac:dyDescent="0.15"/>
    <row r="78" ht="18" customHeight="1" x14ac:dyDescent="0.15"/>
    <row r="79" ht="18" customHeight="1" x14ac:dyDescent="0.15"/>
    <row r="80" ht="18" customHeight="1" x14ac:dyDescent="0.15"/>
    <row r="81" ht="18" customHeight="1" x14ac:dyDescent="0.15"/>
    <row r="82" ht="18" customHeight="1" x14ac:dyDescent="0.15"/>
    <row r="83" ht="18" customHeight="1" x14ac:dyDescent="0.15"/>
    <row r="84" ht="18" customHeight="1" x14ac:dyDescent="0.15"/>
    <row r="85" ht="18" customHeight="1" x14ac:dyDescent="0.15"/>
    <row r="86" ht="18" customHeight="1" x14ac:dyDescent="0.15"/>
    <row r="87" ht="18" customHeight="1" x14ac:dyDescent="0.15"/>
    <row r="88" ht="18" customHeight="1" x14ac:dyDescent="0.15"/>
    <row r="89" ht="18" customHeight="1" x14ac:dyDescent="0.15"/>
    <row r="90" ht="18" customHeight="1" x14ac:dyDescent="0.15"/>
    <row r="91" ht="18" customHeight="1" x14ac:dyDescent="0.15"/>
    <row r="92" ht="18" customHeight="1" x14ac:dyDescent="0.15"/>
    <row r="93" ht="18" customHeight="1" x14ac:dyDescent="0.15"/>
    <row r="94" ht="18" customHeight="1" x14ac:dyDescent="0.15"/>
    <row r="95" ht="18" customHeight="1" x14ac:dyDescent="0.15"/>
    <row r="96" ht="18" customHeight="1" x14ac:dyDescent="0.15"/>
    <row r="97" ht="18" customHeight="1" x14ac:dyDescent="0.15"/>
    <row r="98" ht="18" customHeight="1" x14ac:dyDescent="0.15"/>
    <row r="99" ht="18" customHeight="1" x14ac:dyDescent="0.15"/>
    <row r="100" ht="18" customHeight="1" x14ac:dyDescent="0.15"/>
    <row r="101" ht="18" customHeight="1" x14ac:dyDescent="0.15"/>
    <row r="102" ht="18" customHeight="1" x14ac:dyDescent="0.15"/>
    <row r="103" ht="18" customHeight="1" x14ac:dyDescent="0.15"/>
    <row r="104" ht="18" customHeight="1" x14ac:dyDescent="0.15"/>
    <row r="105" ht="18" customHeight="1" x14ac:dyDescent="0.15"/>
    <row r="106" ht="18" customHeight="1" x14ac:dyDescent="0.15"/>
    <row r="107" ht="18" customHeight="1" x14ac:dyDescent="0.15"/>
    <row r="108" ht="18" customHeight="1" x14ac:dyDescent="0.15"/>
    <row r="109" ht="18" customHeight="1" x14ac:dyDescent="0.15"/>
    <row r="110" ht="18" customHeight="1" x14ac:dyDescent="0.15"/>
    <row r="111" ht="18" customHeight="1" x14ac:dyDescent="0.15"/>
    <row r="112" ht="18" customHeight="1" x14ac:dyDescent="0.15"/>
    <row r="113" ht="18" customHeight="1" x14ac:dyDescent="0.15"/>
    <row r="114" ht="18" customHeight="1" x14ac:dyDescent="0.15"/>
    <row r="115" ht="18" customHeight="1" x14ac:dyDescent="0.15"/>
    <row r="116" ht="18" customHeight="1" x14ac:dyDescent="0.15"/>
    <row r="117" ht="18" customHeight="1" x14ac:dyDescent="0.15"/>
    <row r="118" ht="18" customHeight="1" x14ac:dyDescent="0.15"/>
    <row r="119" ht="18" customHeight="1" x14ac:dyDescent="0.15"/>
    <row r="120" ht="18" customHeight="1" x14ac:dyDescent="0.15"/>
    <row r="121" ht="18" customHeight="1" x14ac:dyDescent="0.15"/>
    <row r="122" ht="18" customHeight="1" x14ac:dyDescent="0.15"/>
    <row r="123" ht="18" customHeight="1" x14ac:dyDescent="0.15"/>
    <row r="124" ht="18" customHeight="1" x14ac:dyDescent="0.15"/>
    <row r="125" ht="18" customHeight="1" x14ac:dyDescent="0.15"/>
    <row r="126" ht="18" customHeight="1" x14ac:dyDescent="0.15"/>
    <row r="127" ht="18" customHeight="1" x14ac:dyDescent="0.15"/>
    <row r="128" ht="18" customHeight="1" x14ac:dyDescent="0.15"/>
    <row r="129" ht="18" customHeight="1" x14ac:dyDescent="0.15"/>
    <row r="130" ht="18" customHeight="1" x14ac:dyDescent="0.15"/>
    <row r="131" ht="18" customHeight="1" x14ac:dyDescent="0.15"/>
    <row r="132" ht="18" customHeight="1" x14ac:dyDescent="0.15"/>
    <row r="133" ht="18" customHeight="1" x14ac:dyDescent="0.15"/>
    <row r="134" ht="18" customHeight="1" x14ac:dyDescent="0.15"/>
    <row r="135" ht="18" customHeight="1" x14ac:dyDescent="0.15"/>
    <row r="136" ht="18" customHeight="1" x14ac:dyDescent="0.15"/>
    <row r="137" ht="18" customHeight="1" x14ac:dyDescent="0.15"/>
    <row r="138" ht="18" customHeight="1" x14ac:dyDescent="0.15"/>
    <row r="139" ht="18" customHeight="1" x14ac:dyDescent="0.15"/>
    <row r="140" ht="18" customHeight="1" x14ac:dyDescent="0.15"/>
    <row r="141" ht="18" customHeight="1" x14ac:dyDescent="0.15"/>
    <row r="142" ht="18" customHeight="1" x14ac:dyDescent="0.15"/>
    <row r="143" ht="18" customHeight="1" x14ac:dyDescent="0.15"/>
    <row r="144" ht="18" customHeight="1" x14ac:dyDescent="0.15"/>
    <row r="145" ht="18" customHeight="1" x14ac:dyDescent="0.15"/>
    <row r="146" ht="18" customHeight="1" x14ac:dyDescent="0.15"/>
    <row r="147" ht="18" customHeight="1" x14ac:dyDescent="0.15"/>
    <row r="148" ht="18" customHeight="1" x14ac:dyDescent="0.15"/>
  </sheetData>
  <phoneticPr fontId="4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CB_DATA_</vt:lpstr>
      <vt:lpstr>定率成長モデル</vt:lpstr>
      <vt:lpstr>Sheet1</vt:lpstr>
      <vt:lpstr>サステナブル成長モデル</vt:lpstr>
    </vt:vector>
  </TitlesOfParts>
  <Company>京都大学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</dc:creator>
  <cp:lastModifiedBy>isagawa.nobuyuki.3w@ms.c.kyoto-u.ac.jp</cp:lastModifiedBy>
  <cp:lastPrinted>2012-05-09T23:58:17Z</cp:lastPrinted>
  <dcterms:created xsi:type="dcterms:W3CDTF">2010-04-09T01:17:36Z</dcterms:created>
  <dcterms:modified xsi:type="dcterms:W3CDTF">2026-09-24T03:12:04Z</dcterms:modified>
</cp:coreProperties>
</file>